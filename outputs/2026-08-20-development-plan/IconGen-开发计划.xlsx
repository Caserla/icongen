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28d893505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概览" sheetId="1" r:id="Rf022962e611d4cbe"/>
    <x:sheet xmlns:r="http://schemas.openxmlformats.org/officeDocument/2006/relationships" name="开发任务总表" sheetId="2" r:id="Rcccbcf306c28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55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EF2FF"/>
      </x:patternFill>
    </x:fill>
    <x:fill>
      <x:patternFill patternType="solid">
        <x:fgColor rgb="FF6750E8"/>
      </x:patternFill>
    </x:fill>
  </x:fills>
  <x:borders count="3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99ad86e6a4b5c" /><Relationship Type="http://schemas.openxmlformats.org/officeDocument/2006/relationships/theme" Target="/xl/theme/theme1.xml" Id="R9c954343b0c349a7" /><Relationship Type="http://schemas.openxmlformats.org/officeDocument/2006/relationships/sharedStrings" Target="/xl/sharedStrings.xml" Id="Rf7a91b37352449c1" /><Relationship Type="http://schemas.openxmlformats.org/officeDocument/2006/relationships/worksheet" Target="/xl/worksheets/sheet1.xml" Id="Rf022962e611d4cbe" /><Relationship Type="http://schemas.openxmlformats.org/officeDocument/2006/relationships/worksheet" Target="/xl/worksheets/sheet2.xml" Id="Rcccbcf306c28411f" /></Relationships>
</file>

<file path=xl/tables/table1.xml><?xml version="1.0" encoding="utf-8"?>
<x:table xmlns:x="http://schemas.openxmlformats.org/spreadsheetml/2006/main" id="1" name="DevelopmentTasks" displayName="DevelopmentTasks" ref="A3:I69" headerRowCount="1" totalsRowCount="0" totalsRowShown="0">
  <x:tableColumns count="9">
    <x:tableColumn id="1" name="阶段"/>
    <x:tableColumn id="2" name="任务ID"/>
    <x:tableColumn id="3" name="端"/>
    <x:tableColumn id="4" name="模块"/>
    <x:tableColumn id="5" name="开发任务"/>
    <x:tableColumn id="6" name="可执行子任务 / 交付物"/>
    <x:tableColumn id="7" name="状态"/>
    <x:tableColumn id="8" name="计划日期"/>
    <x:tableColumn id="9" name="完成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03e30ee5054b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13" t="str">
        <x:v>IconGen 开发计划总览</x:v>
      </x:c>
      <x:c r="B1" s="13"/>
      <x:c r="C1" s="13"/>
      <x:c r="D1" s="13"/>
      <x:c r="E1" s="13"/>
      <x:c r="F1" s="13"/>
    </x:row>
    <x:row r="3" ht="30" customHeight="1">
      <x:c r="A3" s="9" t="str">
        <x:v>阶段</x:v>
      </x:c>
      <x:c r="B3" s="9" t="str">
        <x:v>计划周期</x:v>
      </x:c>
      <x:c r="C3" s="9" t="str">
        <x:v>阶段目标</x:v>
      </x:c>
      <x:c r="D3" s="9" t="str">
        <x:v>任务数</x:v>
      </x:c>
      <x:c r="E3" s="9" t="str">
        <x:v>已完成</x:v>
      </x:c>
      <x:c r="F3" s="9" t="str">
        <x:v>完成率</x:v>
      </x:c>
    </x:row>
    <x:row r="4">
      <x:c r="A4" s="10" t="str">
        <x:v>第 1 期</x:v>
      </x:c>
      <x:c r="B4" s="10" t="str">
        <x:v>2026-08-20 ～ 2026-08-30</x:v>
      </x:c>
      <x:c r="C4" s="10" t="str">
        <x:v>契约、数据库、Mock 生成闭环</x:v>
      </x:c>
      <x:c r="D4" s="10" t="n">
        <x:f>COUNTIF('开发任务总表'!$A$4:$A$200,A4)</x:f>
        <x:v>32</x:v>
      </x:c>
      <x:c r="E4" s="10" t="n">
        <x:f>COUNTIFS('开发任务总表'!$A$4:$A$200,A4,'开发任务总表'!$G$4:$G$200,"已完成")</x:f>
        <x:v>19</x:v>
      </x:c>
      <x:c r="F4" s="11" t="n">
        <x:f>IF(D4=0,0,E4/D4)</x:f>
        <x:v>0.59375</x:v>
      </x:c>
    </x:row>
    <x:row r="5">
      <x:c r="A5" s="10" t="str">
        <x:v>第 2 期</x:v>
      </x:c>
      <x:c r="B5" s="10" t="str">
        <x:v>2026-08-31 ～ 2026-09-13</x:v>
      </x:c>
      <x:c r="C5" s="10" t="str">
        <x:v>真实图片生产、作品与下载</x:v>
      </x:c>
      <x:c r="D5" s="10" t="n">
        <x:f>COUNTIF('开发任务总表'!$A$4:$A$200,A5)</x:f>
        <x:v>18</x:v>
      </x:c>
      <x:c r="E5" s="10" t="n">
        <x:f>COUNTIFS('开发任务总表'!$A$4:$A$200,A5,'开发任务总表'!$G$4:$G$200,"已完成")</x:f>
        <x:v>0</x:v>
      </x:c>
      <x:c r="F5" s="11" t="n">
        <x:f>IF(D5=0,0,E5/D5)</x:f>
        <x:v>0</x:v>
      </x:c>
    </x:row>
    <x:row r="6">
      <x:c r="A6" s="10" t="str">
        <x:v>第 3 期</x:v>
      </x:c>
      <x:c r="B6" s="10" t="str">
        <x:v>2026-09-14 ～ 2026-09-27</x:v>
      </x:c>
      <x:c r="C6" s="10" t="str">
        <x:v>Stripe、删除账户、最小运营与上线</x:v>
      </x:c>
      <x:c r="D6" s="10" t="n">
        <x:f>COUNTIF('开发任务总表'!$A$4:$A$200,A6)</x:f>
        <x:v>16</x:v>
      </x:c>
      <x:c r="E6" s="10" t="n">
        <x:f>COUNTIFS('开发任务总表'!$A$4:$A$200,A6,'开发任务总表'!$G$4:$G$200,"已完成")</x:f>
        <x:v>0</x:v>
      </x:c>
      <x:c r="F6" s="11" t="n">
        <x:f>IF(D6=0,0,E6/D6)</x:f>
        <x:v>0</x:v>
      </x:c>
    </x:row>
    <x:row r="7">
      <x:c r="A7" s="10"/>
      <x:c r="B7" s="10"/>
      <x:c r="C7" s="10"/>
      <x:c r="D7" s="10"/>
      <x:c r="E7" s="10"/>
      <x:c r="F7" s="10"/>
    </x:row>
    <x:row r="8">
      <x:c r="A8" s="12" t="str">
        <x:v>维护说明</x:v>
      </x:c>
      <x:c r="B8" s="10" t="str">
        <x:v>需求细节直接写入原任务的“可执行子任务 / 交付物”，不额外增加未安排的专项工作。</x:v>
      </x:c>
      <x:c r="C8" s="10"/>
      <x:c r="D8" s="10"/>
      <x:c r="E8" s="10"/>
      <x:c r="F8" s="10"/>
    </x:row>
    <x:row r="9">
      <x:c r="A9" s="12" t="str">
        <x:v>更新时间</x:v>
      </x:c>
      <x:c r="B9" s="10" t="str">
        <x:v>2026-08-20</x:v>
      </x:c>
      <x:c r="C9" s="10"/>
      <x:c r="D9" s="10"/>
      <x:c r="E9" s="10"/>
      <x:c r="F9" s="1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6" hidden="0" customWidth="1"/>
    <x:col min="5" max="5" width="25" hidden="0" customWidth="1"/>
    <x:col min="6" max="6" width="76" hidden="0" customWidth="1"/>
    <x:col min="7" max="7" width="12" hidden="0" customWidth="1"/>
    <x:col min="8" max="8" width="22" hidden="0" customWidth="1"/>
    <x:col min="9" max="9" width="16" hidden="0" customWidth="1"/>
  </x:cols>
  <x:sheetData>
    <x:row r="1">
      <x:c r="A1" t="str">
        <x:v>IconGen 前后端开发任务总表</x:v>
      </x:c>
    </x:row>
    <x:row r="2">
      <x:c r="A2" t="str">
        <x:v>每完成一个任务，同步更新状态和完成日期；需求细节在原任务行内维护。</x:v>
      </x:c>
    </x:row>
    <x:row r="3" ht="30" customHeight="1">
      <x:c r="A3" s="9" t="str">
        <x:v>阶段</x:v>
      </x:c>
      <x:c r="B3" s="9" t="str">
        <x:v>任务ID</x:v>
      </x:c>
      <x:c r="C3" s="9" t="str">
        <x:v>端</x:v>
      </x:c>
      <x:c r="D3" s="9" t="str">
        <x:v>模块</x:v>
      </x:c>
      <x:c r="E3" s="9" t="str">
        <x:v>开发任务</x:v>
      </x:c>
      <x:c r="F3" s="9" t="str">
        <x:v>可执行子任务 / 交付物</x:v>
      </x:c>
      <x:c r="G3" s="9" t="str">
        <x:v>状态</x:v>
      </x:c>
      <x:c r="H3" s="9" t="str">
        <x:v>计划日期</x:v>
      </x:c>
      <x:c r="I3" s="9" t="str">
        <x:v>完成日期</x:v>
      </x:c>
    </x:row>
    <x:row r="4" ht="44" customHeight="1">
      <x:c r="A4" s="14" t="str">
        <x:v>第 1 期</x:v>
      </x:c>
      <x:c r="B4" s="14" t="str">
        <x:v>P1-SH-001</x:v>
      </x:c>
      <x:c r="C4" s="14" t="str">
        <x:v>前后端共享</x:v>
      </x:c>
      <x:c r="D4" s="14" t="str">
        <x:v>工程</x:v>
      </x:c>
      <x:c r="E4" s="14" t="str">
        <x:v>建立 Monorepo</x:v>
      </x:c>
      <x:c r="F4" s="14" t="str">
        <x:v>npm Workspaces；`apps/web`、`packages/*`、`services/icon-worker` 边界</x:v>
      </x:c>
      <x:c r="G4" s="14" t="str">
        <x:v>已完成</x:v>
      </x:c>
      <x:c r="H4" s="14" t="str">
        <x:v>08-20</x:v>
      </x:c>
      <x:c r="I4" s="14" t="str">
        <x:v>2026-08-20</x:v>
      </x:c>
    </x:row>
    <x:row r="5" ht="44" customHeight="1">
      <x:c r="A5" s="14" t="str">
        <x:v>第 1 期</x:v>
      </x:c>
      <x:c r="B5" s="14" t="str">
        <x:v>P1-DOC-001</x:v>
      </x:c>
      <x:c r="C5" s="14" t="str">
        <x:v>前后端共享</x:v>
      </x:c>
      <x:c r="D5" s="14" t="str">
        <x:v>需求</x:v>
      </x:c>
      <x:c r="E5" s="14" t="str">
        <x:v>建立知识库与 PRD</x:v>
      </x:c>
      <x:c r="F5" s="14" t="str">
        <x:v>六模块、架构、决策、接口和待确认事项入口</x:v>
      </x:c>
      <x:c r="G5" s="14" t="str">
        <x:v>已完成</x:v>
      </x:c>
      <x:c r="H5" s="14" t="str">
        <x:v>08-20</x:v>
      </x:c>
      <x:c r="I5" s="14" t="str">
        <x:v>2026-08-20</x:v>
      </x:c>
    </x:row>
    <x:row r="6" ht="44" customHeight="1">
      <x:c r="A6" s="14" t="str">
        <x:v>第 1 期</x:v>
      </x:c>
      <x:c r="B6" s="14" t="str">
        <x:v>P1-DOC-002</x:v>
      </x:c>
      <x:c r="C6" s="14" t="str">
        <x:v>前后端共享</x:v>
      </x:c>
      <x:c r="D6" s="14" t="str">
        <x:v>范围</x:v>
      </x:c>
      <x:c r="E6" s="14" t="str">
        <x:v>冻结 MVP 基线</x:v>
      </x:c>
      <x:c r="F6" s="14" t="str">
        <x:v>UI 图标、多主体×3、25 项、点数、下载、保留与最小运营范围</x:v>
      </x:c>
      <x:c r="G6" s="14" t="str">
        <x:v>已完成</x:v>
      </x:c>
      <x:c r="H6" s="14" t="str">
        <x:v>08-20</x:v>
      </x:c>
      <x:c r="I6" s="14" t="str">
        <x:v>2026-08-20</x:v>
      </x:c>
    </x:row>
    <x:row r="7" ht="44" customHeight="1">
      <x:c r="A7" s="14" t="str">
        <x:v>第 1 期</x:v>
      </x:c>
      <x:c r="B7" s="14" t="str">
        <x:v>P1-SH-002</x:v>
      </x:c>
      <x:c r="C7" s="14" t="str">
        <x:v>前后端共享</x:v>
      </x:c>
      <x:c r="D7" s="14" t="str">
        <x:v>生成契约</x:v>
      </x:c>
      <x:c r="E7" s="14" t="str">
        <x:v>建立 v2 Schema</x:v>
      </x:c>
      <x:c r="F7" s="14" t="str">
        <x:v>subjects、颜色/背景、coreSettings、尺寸、任务/进度/variant/asset 响应</x:v>
      </x:c>
      <x:c r="G7" s="14" t="str">
        <x:v>已完成</x:v>
      </x:c>
      <x:c r="H7" s="14" t="str">
        <x:v>08-20</x:v>
      </x:c>
      <x:c r="I7" s="14" t="str">
        <x:v>2026-08-20</x:v>
      </x:c>
    </x:row>
    <x:row r="8" ht="44" customHeight="1">
      <x:c r="A8" s="14" t="str">
        <x:v>第 1 期</x:v>
      </x:c>
      <x:c r="B8" s="14" t="str">
        <x:v>P1-SH-003</x:v>
      </x:c>
      <x:c r="C8" s="14" t="str">
        <x:v>前后端共享</x:v>
      </x:c>
      <x:c r="D8" s="14" t="str">
        <x:v>核心设置</x:v>
      </x:c>
      <x:c r="E8" s="14" t="str">
        <x:v>建立 6 组 25 项共享配置</x:v>
      </x:c>
      <x:c r="F8" s="14" t="str">
        <x:v>中英文标签、稳定 ID、prompt token、版本和自动数量校验</x:v>
      </x:c>
      <x:c r="G8" s="14" t="str">
        <x:v>已完成</x:v>
      </x:c>
      <x:c r="H8" s="14" t="str">
        <x:v>08-20</x:v>
      </x:c>
      <x:c r="I8" s="14" t="str">
        <x:v>2026-08-20</x:v>
      </x:c>
    </x:row>
    <x:row r="9" ht="44" customHeight="1">
      <x:c r="A9" s="14" t="str">
        <x:v>第 1 期</x:v>
      </x:c>
      <x:c r="B9" s="14" t="str">
        <x:v>P1-SH-004</x:v>
      </x:c>
      <x:c r="C9" s="14" t="str">
        <x:v>前后端共享</x:v>
      </x:c>
      <x:c r="D9" s="14" t="str">
        <x:v>测试</x:v>
      </x:c>
      <x:c r="E9" s="14" t="str">
        <x:v>共享契约测试</x:v>
      </x:c>
      <x:c r="F9" s="14" t="str">
        <x:v>合法多主体、重复主体、背景冲突、尺寸和 6/25 数量测试</x:v>
      </x:c>
      <x:c r="G9" s="14" t="str">
        <x:v>已完成</x:v>
      </x:c>
      <x:c r="H9" s="14" t="str">
        <x:v>08-20</x:v>
      </x:c>
      <x:c r="I9" s="14" t="str">
        <x:v>2026-08-20</x:v>
      </x:c>
    </x:row>
    <x:row r="10" ht="44" customHeight="1">
      <x:c r="A10" s="14" t="str">
        <x:v>第 1 期</x:v>
      </x:c>
      <x:c r="B10" s="14" t="str">
        <x:v>P1-FE-001</x:v>
      </x:c>
      <x:c r="C10" s="14" t="str">
        <x:v>前端</x:v>
      </x:c>
      <x:c r="D10" s="14" t="str">
        <x:v>工程</x:v>
      </x:c>
      <x:c r="E10" s="14" t="str">
        <x:v>Next.js 前端骨架</x:v>
      </x:c>
      <x:c r="F10" s="14" t="str">
        <x:v>路由分组、布局、组件目录、质量工具</x:v>
      </x:c>
      <x:c r="G10" s="14" t="str">
        <x:v>已完成</x:v>
      </x:c>
      <x:c r="H10" s="14" t="str">
        <x:v>08-20</x:v>
      </x:c>
      <x:c r="I10" s="14" t="str">
        <x:v>2026-08-20</x:v>
      </x:c>
    </x:row>
    <x:row r="11" ht="44" customHeight="1">
      <x:c r="A11" s="14" t="str">
        <x:v>第 1 期</x:v>
      </x:c>
      <x:c r="B11" s="14" t="str">
        <x:v>P1-FE-002</x:v>
      </x:c>
      <x:c r="C11" s="14" t="str">
        <x:v>前端</x:v>
      </x:c>
      <x:c r="D11" s="14" t="str">
        <x:v>设计系统</x:v>
      </x:c>
      <x:c r="E11" s="14" t="str">
        <x:v>固定网站视觉语言</x:v>
      </x:c>
      <x:c r="F11" s="14" t="str">
        <x:v>品牌颜色、字体、圆角、阴影、间距、基础组件和响应式布局</x:v>
      </x:c>
      <x:c r="G11" s="14" t="str">
        <x:v>已完成</x:v>
      </x:c>
      <x:c r="H11" s="14" t="str">
        <x:v>08-20</x:v>
      </x:c>
      <x:c r="I11" s="14" t="str">
        <x:v>2026-08-20</x:v>
      </x:c>
    </x:row>
    <x:row r="12" ht="44" customHeight="1">
      <x:c r="A12" s="14" t="str">
        <x:v>第 1 期</x:v>
      </x:c>
      <x:c r="B12" s="14" t="str">
        <x:v>P1-FE-003</x:v>
      </x:c>
      <x:c r="C12" s="14" t="str">
        <x:v>前端</x:v>
      </x:c>
      <x:c r="D12" s="14" t="str">
        <x:v>国际化</x:v>
      </x:c>
      <x:c r="E12" s="14" t="str">
        <x:v>中英文切换基础</x:v>
      </x:c>
      <x:c r="F12" s="14" t="str">
        <x:v>Locale Provider、语言开关、稳定 ID 不随语言变化</x:v>
      </x:c>
      <x:c r="G12" s="14" t="str">
        <x:v>已完成</x:v>
      </x:c>
      <x:c r="H12" s="14" t="str">
        <x:v>08-20</x:v>
      </x:c>
      <x:c r="I12" s="14" t="str">
        <x:v>2026-08-20</x:v>
      </x:c>
    </x:row>
    <x:row r="13" ht="44" customHeight="1">
      <x:c r="A13" s="14" t="str">
        <x:v>第 1 期</x:v>
      </x:c>
      <x:c r="B13" s="14" t="str">
        <x:v>P1-FE-004</x:v>
      </x:c>
      <x:c r="C13" s="14" t="str">
        <x:v>前端</x:v>
      </x:c>
      <x:c r="D13" s="14" t="str">
        <x:v>营销</x:v>
      </x:c>
      <x:c r="E13" s="14" t="str">
        <x:v>首页与价格页展示骨架</x:v>
      </x:c>
      <x:c r="F13" s="14" t="str">
        <x:v>UI Icon 定位；30/$2.99、75/$6.49、180/$12.99 展示</x:v>
      </x:c>
      <x:c r="G13" s="14" t="str">
        <x:v>已完成</x:v>
      </x:c>
      <x:c r="H13" s="14" t="str">
        <x:v>08-20</x:v>
      </x:c>
      <x:c r="I13" s="14" t="str">
        <x:v>2026-08-20</x:v>
      </x:c>
    </x:row>
    <x:row r="14" ht="44" customHeight="1">
      <x:c r="A14" s="14" t="str">
        <x:v>第 1 期</x:v>
      </x:c>
      <x:c r="B14" s="14" t="str">
        <x:v>P1-FE-005</x:v>
      </x:c>
      <x:c r="C14" s="14" t="str">
        <x:v>前端</x:v>
      </x:c>
      <x:c r="D14" s="14" t="str">
        <x:v>认证</x:v>
      </x:c>
      <x:c r="E14" s="14" t="str">
        <x:v>登录页面</x:v>
      </x:c>
      <x:c r="F14" s="14" t="str">
        <x:v>邮箱密码登录、忘记密码入口、双语和错误状态</x:v>
      </x:c>
      <x:c r="G14" s="14" t="str">
        <x:v>已完成</x:v>
      </x:c>
      <x:c r="H14" s="14" t="str">
        <x:v>08-20</x:v>
      </x:c>
      <x:c r="I14" s="14" t="str">
        <x:v>2026-08-20</x:v>
      </x:c>
    </x:row>
    <x:row r="15" ht="44" customHeight="1">
      <x:c r="A15" s="14" t="str">
        <x:v>第 1 期</x:v>
      </x:c>
      <x:c r="B15" s="14" t="str">
        <x:v>P1-BE-001</x:v>
      </x:c>
      <x:c r="C15" s="14" t="str">
        <x:v>后端</x:v>
      </x:c>
      <x:c r="D15" s="14" t="str">
        <x:v>认证</x:v>
      </x:c>
      <x:c r="E15" s="14" t="str">
        <x:v>邮箱密码认证 API</x:v>
      </x:c>
      <x:c r="F15" s="14" t="str">
        <x:v>注册、登录、退出、验证重发、忘记和重置密码接口</x:v>
      </x:c>
      <x:c r="G15" s="14" t="str">
        <x:v>已完成</x:v>
      </x:c>
      <x:c r="H15" s="14" t="str">
        <x:v>08-20</x:v>
      </x:c>
      <x:c r="I15" s="14" t="str">
        <x:v>2026-08-20</x:v>
      </x:c>
    </x:row>
    <x:row r="16" ht="44" customHeight="1">
      <x:c r="A16" s="14" t="str">
        <x:v>第 1 期</x:v>
      </x:c>
      <x:c r="B16" s="14" t="str">
        <x:v>P1-BE-002</x:v>
      </x:c>
      <x:c r="C16" s="14" t="str">
        <x:v>后端</x:v>
      </x:c>
      <x:c r="D16" s="14" t="str">
        <x:v>账户</x:v>
      </x:c>
      <x:c r="E16" s="14" t="str">
        <x:v>账户资料 API</x:v>
      </x:c>
      <x:c r="F16" s="14" t="str">
        <x:v>当前账户、资料更新和删除申请接口</x:v>
      </x:c>
      <x:c r="G16" s="14" t="str">
        <x:v>已完成</x:v>
      </x:c>
      <x:c r="H16" s="14" t="str">
        <x:v>08-20</x:v>
      </x:c>
      <x:c r="I16" s="14" t="str">
        <x:v>2026-08-20</x:v>
      </x:c>
    </x:row>
    <x:row r="17" ht="44" customHeight="1">
      <x:c r="A17" s="14" t="str">
        <x:v>第 1 期</x:v>
      </x:c>
      <x:c r="B17" s="14" t="str">
        <x:v>P1-BE-003</x:v>
      </x:c>
      <x:c r="C17" s="14" t="str">
        <x:v>后端</x:v>
      </x:c>
      <x:c r="D17" s="14" t="str">
        <x:v>数据库</x:v>
      </x:c>
      <x:c r="E17" s="14" t="str">
        <x:v>编写 v2 生成迁移</x:v>
      </x:c>
      <x:c r="F17" s="14" t="str">
        <x:v>jobs、subjects、variants、assets、RLS 和创建任务事务 SQL</x:v>
      </x:c>
      <x:c r="G17" s="14" t="str">
        <x:v>已完成</x:v>
      </x:c>
      <x:c r="H17" s="14" t="str">
        <x:v>08-20</x:v>
      </x:c>
      <x:c r="I17" s="14" t="str">
        <x:v>2026-08-20</x:v>
      </x:c>
    </x:row>
    <x:row r="18" ht="44" customHeight="1">
      <x:c r="A18" s="14" t="str">
        <x:v>第 1 期</x:v>
      </x:c>
      <x:c r="B18" s="14" t="str">
        <x:v>P1-BE-004</x:v>
      </x:c>
      <x:c r="C18" s="14" t="str">
        <x:v>后端</x:v>
      </x:c>
      <x:c r="D18" s="14" t="str">
        <x:v>Worker</x:v>
      </x:c>
      <x:c r="E18" s="14" t="str">
        <x:v>Mock Image Provider</x:v>
      </x:c>
      <x:c r="F18" s="14" t="str">
        <x:v>无 OpenAI Key 返回确定性 PNG；注册表可切换 mock/openai</x:v>
      </x:c>
      <x:c r="G18" s="14" t="str">
        <x:v>已完成</x:v>
      </x:c>
      <x:c r="H18" s="14" t="str">
        <x:v>08-20</x:v>
      </x:c>
      <x:c r="I18" s="14" t="str">
        <x:v>2026-08-20</x:v>
      </x:c>
    </x:row>
    <x:row r="19" ht="44" customHeight="1">
      <x:c r="A19" s="14" t="str">
        <x:v>第 1 期</x:v>
      </x:c>
      <x:c r="B19" s="14" t="str">
        <x:v>P1-BE-005</x:v>
      </x:c>
      <x:c r="C19" s="14" t="str">
        <x:v>后端</x:v>
      </x:c>
      <x:c r="D19" s="14" t="str">
        <x:v>模型配置</x:v>
      </x:c>
      <x:c r="E19" s="14" t="str">
        <x:v>固定 medium 质量</x:v>
      </x:c>
      <x:c r="F19" s="14" t="str">
        <x:v>`IMAGE_QUALITY=medium` 并显式传入 OpenAI Provider</x:v>
      </x:c>
      <x:c r="G19" s="14" t="str">
        <x:v>已完成</x:v>
      </x:c>
      <x:c r="H19" s="14" t="str">
        <x:v>08-20</x:v>
      </x:c>
      <x:c r="I19" s="14" t="str">
        <x:v>2026-08-20</x:v>
      </x:c>
    </x:row>
    <x:row r="20" ht="44" customHeight="1">
      <x:c r="A20" s="14" t="str">
        <x:v>第 1 期</x:v>
      </x:c>
      <x:c r="B20" s="14" t="str">
        <x:v>P1-DOC-003</x:v>
      </x:c>
      <x:c r="C20" s="14" t="str">
        <x:v>前后端共享</x:v>
      </x:c>
      <x:c r="D20" s="14" t="str">
        <x:v>接口</x:v>
      </x:c>
      <x:c r="E20" s="14" t="str">
        <x:v>v2 前端调用手册</x:v>
      </x:c>
      <x:c r="F20" s="14" t="str">
        <x:v>创建请求、任务响应、错误码、轮询与迁移边界</x:v>
      </x:c>
      <x:c r="G20" s="14" t="str">
        <x:v>已完成</x:v>
      </x:c>
      <x:c r="H20" s="14" t="str">
        <x:v>08-20</x:v>
      </x:c>
      <x:c r="I20" s="14" t="str">
        <x:v>2026-08-20</x:v>
      </x:c>
    </x:row>
    <x:row r="21" ht="44" customHeight="1">
      <x:c r="A21" s="14" t="str">
        <x:v>第 1 期</x:v>
      </x:c>
      <x:c r="B21" s="14" t="str">
        <x:v>P1-BE-006</x:v>
      </x:c>
      <x:c r="C21" s="14" t="str">
        <x:v>后端</x:v>
      </x:c>
      <x:c r="D21" s="14" t="str">
        <x:v>数据库</x:v>
      </x:c>
      <x:c r="E21" s="14" t="str">
        <x:v>应用并验证数据库迁移</x:v>
      </x:c>
      <x:c r="F21" s="14" t="str">
        <x:v>本地/测试 Supabase 执行 0001–0004；验证 RLS、唯一索引和事务回滚</x:v>
      </x:c>
      <x:c r="G21" s="14" t="str">
        <x:v>待完成</x:v>
      </x:c>
      <x:c r="H21" s="14" t="str">
        <x:v>08-21～08-22</x:v>
      </x:c>
      <x:c r="I21" s="14" t="str">
        <x:v>—</x:v>
      </x:c>
    </x:row>
    <x:row r="22" ht="44" customHeight="1">
      <x:c r="A22" s="14" t="str">
        <x:v>第 1 期</x:v>
      </x:c>
      <x:c r="B22" s="14" t="str">
        <x:v>P1-BE-007</x:v>
      </x:c>
      <x:c r="C22" s="14" t="str">
        <x:v>后端</x:v>
      </x:c>
      <x:c r="D22" s="14" t="str">
        <x:v>体验点数</x:v>
      </x:c>
      <x:c r="E22" s="14" t="str">
        <x:v>实现新用户 6 点</x:v>
      </x:c>
      <x:c r="F22" s="14" t="str">
        <x:v>`signup_bonus` 账本枚举、幂等发放、余额一致性和测试</x:v>
      </x:c>
      <x:c r="G22" s="14" t="str">
        <x:v>待完成</x:v>
      </x:c>
      <x:c r="H22" s="14" t="str">
        <x:v>08-21～08-22</x:v>
      </x:c>
      <x:c r="I22" s="14" t="str">
        <x:v>—</x:v>
      </x:c>
    </x:row>
    <x:row r="23" ht="44" customHeight="1">
      <x:c r="A23" s="14" t="str">
        <x:v>第 1 期</x:v>
      </x:c>
      <x:c r="B23" s="14" t="str">
        <x:v>P1-BE-008</x:v>
      </x:c>
      <x:c r="C23" s="14" t="str">
        <x:v>后端</x:v>
      </x:c>
      <x:c r="D23" s="14" t="str">
        <x:v>设置 API</x:v>
      </x:c>
      <x:c r="E23" s="14" t="str">
        <x:v>实现核心设置接口</x:v>
      </x:c>
      <x:c r="F23" s="14" t="str">
        <x:v>`GET /api/generation/settings` 返回版本、25 项、尺寸和主体上限</x:v>
      </x:c>
      <x:c r="G23" s="14" t="str">
        <x:v>待完成</x:v>
      </x:c>
      <x:c r="H23" s="14" t="str">
        <x:v>08-22</x:v>
      </x:c>
      <x:c r="I23" s="14" t="str">
        <x:v>—</x:v>
      </x:c>
    </x:row>
    <x:row r="24" ht="44" customHeight="1">
      <x:c r="A24" s="14" t="str">
        <x:v>第 1 期</x:v>
      </x:c>
      <x:c r="B24" s="14" t="str">
        <x:v>P1-BE-009</x:v>
      </x:c>
      <x:c r="C24" s="14" t="str">
        <x:v>后端</x:v>
      </x:c>
      <x:c r="D24" s="14" t="str">
        <x:v>生成 API</x:v>
      </x:c>
      <x:c r="E24" s="14" t="str">
        <x:v>创建 v2 任务</x:v>
      </x:c>
      <x:c r="F24" s="14" t="str">
        <x:v>鉴权、v2 校验、内容检查、1 活动任务限制、扣点事务、SQS v2 消息</x:v>
      </x:c>
      <x:c r="G24" s="14" t="str">
        <x:v>待完成</x:v>
      </x:c>
      <x:c r="H24" s="14" t="str">
        <x:v>08-22～08-24</x:v>
      </x:c>
      <x:c r="I24" s="14" t="str">
        <x:v>—</x:v>
      </x:c>
    </x:row>
    <x:row r="25" ht="44" customHeight="1">
      <x:c r="A25" s="14" t="str">
        <x:v>第 1 期</x:v>
      </x:c>
      <x:c r="B25" s="14" t="str">
        <x:v>P1-BE-010</x:v>
      </x:c>
      <x:c r="C25" s="14" t="str">
        <x:v>后端</x:v>
      </x:c>
      <x:c r="D25" s="14" t="str">
        <x:v>Worker</x:v>
      </x:c>
      <x:c r="E25" s="14" t="str">
        <x:v>改造多主体×3 Worker</x:v>
      </x:c>
      <x:c r="F25" s="14" t="str">
        <x:v>读取 subjects；处理 3 variant；跳过已成功单元；幂等保存</x:v>
      </x:c>
      <x:c r="G25" s="14" t="str">
        <x:v>已完成</x:v>
      </x:c>
      <x:c r="H25" s="14" t="str">
        <x:v>08-23～08-25</x:v>
      </x:c>
      <x:c r="I25" s="14" t="str">
        <x:v>2026-08-20</x:v>
      </x:c>
    </x:row>
    <x:row r="26" ht="44" customHeight="1">
      <x:c r="A26" s="14" t="str">
        <x:v>第 1 期</x:v>
      </x:c>
      <x:c r="B26" s="14" t="str">
        <x:v>P1-BE-011</x:v>
      </x:c>
      <x:c r="C26" s="14" t="str">
        <x:v>后端</x:v>
      </x:c>
      <x:c r="D26" s="14" t="str">
        <x:v>Icon Skill</x:v>
      </x:c>
      <x:c r="E26" s="14" t="str">
        <x:v>改造 UI 图标 Skill</x:v>
      </x:c>
      <x:c r="F26" s="14" t="str">
        <x:v>移除 App Icon/4 方向；接收 25 项；3 方案仅改变隐喻/构图并锁定批次一致性</x:v>
      </x:c>
      <x:c r="G26" s="14" t="str">
        <x:v>已完成</x:v>
      </x:c>
      <x:c r="H26" s="14" t="str">
        <x:v>08-23～08-25</x:v>
      </x:c>
      <x:c r="I26" s="14" t="str">
        <x:v>2026-08-20</x:v>
      </x:c>
    </x:row>
    <x:row r="27" ht="44" customHeight="1">
      <x:c r="A27" s="14" t="str">
        <x:v>第 1 期</x:v>
      </x:c>
      <x:c r="B27" s="14" t="str">
        <x:v>P1-BE-012</x:v>
      </x:c>
      <x:c r="C27" s="14" t="str">
        <x:v>后端</x:v>
      </x:c>
      <x:c r="D27" s="14" t="str">
        <x:v>进度</x:v>
      </x:c>
      <x:c r="E27" s="14" t="str">
        <x:v>实现真实任务进度</x:v>
      </x:c>
      <x:c r="F27" s="14" t="str">
        <x:v>queued/compiling/generating/processing/saving；0–100；完成主体数</x:v>
      </x:c>
      <x:c r="G27" s="14" t="str">
        <x:v>待完成</x:v>
      </x:c>
      <x:c r="H27" s="14" t="str">
        <x:v>08-25～08-26</x:v>
      </x:c>
      <x:c r="I27" s="14" t="str">
        <x:v>—</x:v>
      </x:c>
    </x:row>
    <x:row r="28" ht="44" customHeight="1">
      <x:c r="A28" s="14" t="str">
        <x:v>第 1 期</x:v>
      </x:c>
      <x:c r="B28" s="14" t="str">
        <x:v>P1-BE-013</x:v>
      </x:c>
      <x:c r="C28" s="14" t="str">
        <x:v>后端</x:v>
      </x:c>
      <x:c r="D28" s="14" t="str">
        <x:v>查询 API</x:v>
      </x:c>
      <x:c r="E28" s="14" t="str">
        <x:v>实现任务详情查询</x:v>
      </x:c>
      <x:c r="F28" s="14" t="str">
        <x:v>所有权校验；subjects 顺序；每主体 3 槽位；进度和资金摘要</x:v>
      </x:c>
      <x:c r="G28" s="14" t="str">
        <x:v>待完成</x:v>
      </x:c>
      <x:c r="H28" s="14" t="str">
        <x:v>08-25～08-26</x:v>
      </x:c>
      <x:c r="I28" s="14" t="str">
        <x:v>—</x:v>
      </x:c>
    </x:row>
    <x:row r="29" ht="44" customHeight="1">
      <x:c r="A29" s="14" t="str">
        <x:v>第 1 期</x:v>
      </x:c>
      <x:c r="B29" s="14" t="str">
        <x:v>P1-FE-006</x:v>
      </x:c>
      <x:c r="C29" s="14" t="str">
        <x:v>前端</x:v>
      </x:c>
      <x:c r="D29" s="14" t="str">
        <x:v>创建页</x:v>
      </x:c>
      <x:c r="E29" s="14" t="str">
        <x:v>多主体输入</x:v>
      </x:c>
      <x:c r="F29" s="14" t="str">
        <x:v>添加、删除、排序、批量粘贴、1–20 限制、本地草稿</x:v>
      </x:c>
      <x:c r="G29" s="14" t="str">
        <x:v>待完成</x:v>
      </x:c>
      <x:c r="H29" s="14" t="str">
        <x:v>08-22～08-24</x:v>
      </x:c>
      <x:c r="I29" s="14" t="str">
        <x:v>—</x:v>
      </x:c>
    </x:row>
    <x:row r="30" ht="44" customHeight="1">
      <x:c r="A30" s="14" t="str">
        <x:v>第 1 期</x:v>
      </x:c>
      <x:c r="B30" s="14" t="str">
        <x:v>P1-FE-007</x:v>
      </x:c>
      <x:c r="C30" s="14" t="str">
        <x:v>前端</x:v>
      </x:c>
      <x:c r="D30" s="14" t="str">
        <x:v>创建页</x:v>
      </x:c>
      <x:c r="E30" s="14" t="str">
        <x:v>颜色与背景设置</x:v>
      </x:c>
      <x:c r="F30" s="14" t="str">
        <x:v>主体纯色/渐变；背景开关、容器、颜色和方向；字段联动</x:v>
      </x:c>
      <x:c r="G30" s="14" t="str">
        <x:v>待完成</x:v>
      </x:c>
      <x:c r="H30" s="14" t="str">
        <x:v>08-23～08-25</x:v>
      </x:c>
      <x:c r="I30" s="14" t="str">
        <x:v>—</x:v>
      </x:c>
    </x:row>
    <x:row r="31" ht="44" customHeight="1">
      <x:c r="A31" s="14" t="str">
        <x:v>第 1 期</x:v>
      </x:c>
      <x:c r="B31" s="14" t="str">
        <x:v>P1-FE-008</x:v>
      </x:c>
      <x:c r="C31" s="14" t="str">
        <x:v>前端</x:v>
      </x:c>
      <x:c r="D31" s="14" t="str">
        <x:v>创建页</x:v>
      </x:c>
      <x:c r="E31" s="14" t="str">
        <x:v>6 组 25 项设置</x:v>
      </x:c>
      <x:c r="F31" s="14" t="str">
        <x:v>从共享包渲染；每组单选；中英文；设计摘要</x:v>
      </x:c>
      <x:c r="G31" s="14" t="str">
        <x:v>待完成</x:v>
      </x:c>
      <x:c r="H31" s="14" t="str">
        <x:v>08-24～08-26</x:v>
      </x:c>
      <x:c r="I31" s="14" t="str">
        <x:v>—</x:v>
      </x:c>
    </x:row>
    <x:row r="32" ht="44" customHeight="1">
      <x:c r="A32" s="14" t="str">
        <x:v>第 1 期</x:v>
      </x:c>
      <x:c r="B32" s="14" t="str">
        <x:v>P1-FE-009</x:v>
      </x:c>
      <x:c r="C32" s="14" t="str">
        <x:v>前端</x:v>
      </x:c>
      <x:c r="D32" s="14" t="str">
        <x:v>创建页</x:v>
      </x:c>
      <x:c r="E32" s="14" t="str">
        <x:v>尺寸、费用和提交</x:v>
      </x:c>
      <x:c r="F32" s="14" t="str">
        <x:v>10 个尺寸、预计点数、校验、幂等键、点数不足和活动任务处理</x:v>
      </x:c>
      <x:c r="G32" s="14" t="str">
        <x:v>待完成</x:v>
      </x:c>
      <x:c r="H32" s="14" t="str">
        <x:v>08-25～08-27</x:v>
      </x:c>
      <x:c r="I32" s="14" t="str">
        <x:v>—</x:v>
      </x:c>
    </x:row>
    <x:row r="33" ht="44" customHeight="1">
      <x:c r="A33" s="14" t="str">
        <x:v>第 1 期</x:v>
      </x:c>
      <x:c r="B33" s="14" t="str">
        <x:v>P1-FE-010</x:v>
      </x:c>
      <x:c r="C33" s="14" t="str">
        <x:v>前端</x:v>
      </x:c>
      <x:c r="D33" s="14" t="str">
        <x:v>结果页</x:v>
      </x:c>
      <x:c r="E33" s="14" t="str">
        <x:v>Mock 进度与分组结果</x:v>
      </x:c>
      <x:c r="F33" s="14" t="str">
        <x:v>轮询；百分比；每主体一行；每行 3 方案；刷新恢复</x:v>
      </x:c>
      <x:c r="G33" s="14" t="str">
        <x:v>待完成</x:v>
      </x:c>
      <x:c r="H33" s="14" t="str">
        <x:v>08-26～08-28</x:v>
      </x:c>
      <x:c r="I33" s="14" t="str">
        <x:v>—</x:v>
      </x:c>
    </x:row>
    <x:row r="34" ht="44" customHeight="1">
      <x:c r="A34" s="14" t="str">
        <x:v>第 1 期</x:v>
      </x:c>
      <x:c r="B34" s="14" t="str">
        <x:v>P1-FE-011</x:v>
      </x:c>
      <x:c r="C34" s="14" t="str">
        <x:v>前端</x:v>
      </x:c>
      <x:c r="D34" s="14" t="str">
        <x:v>认证</x:v>
      </x:c>
      <x:c r="E34" s="14" t="str">
        <x:v>补齐认证页面</x:v>
      </x:c>
      <x:c r="F34" s="14" t="str">
        <x:v>注册、邮箱验证提示、忘记密码、重置密码和 Auth 回调页面</x:v>
      </x:c>
      <x:c r="G34" s="14" t="str">
        <x:v>待完成</x:v>
      </x:c>
      <x:c r="H34" s="14" t="str">
        <x:v>08-27～08-28</x:v>
      </x:c>
      <x:c r="I34" s="14" t="str">
        <x:v>—</x:v>
      </x:c>
    </x:row>
    <x:row r="35" ht="44" customHeight="1">
      <x:c r="A35" s="14" t="str">
        <x:v>第 1 期</x:v>
      </x:c>
      <x:c r="B35" s="14" t="str">
        <x:v>P1-QA-001</x:v>
      </x:c>
      <x:c r="C35" s="14" t="str">
        <x:v>前后端共享</x:v>
      </x:c>
      <x:c r="D35" s="14" t="str">
        <x:v>联调</x:v>
      </x:c>
      <x:c r="E35" s="14" t="str">
        <x:v>Mock 端到端闭环</x:v>
      </x:c>
      <x:c r="F35" s="14" t="str">
        <x:v>登录→多主体→扣测试点→Mock×3→结果；断网/刷新/重复提交测试</x:v>
      </x:c>
      <x:c r="G35" s="14" t="str">
        <x:v>待完成</x:v>
      </x:c>
      <x:c r="H35" s="14" t="str">
        <x:v>08-29～08-30</x:v>
      </x:c>
      <x:c r="I35" s="14" t="str">
        <x:v>—</x:v>
      </x:c>
    </x:row>
    <x:row r="36" ht="44" customHeight="1">
      <x:c r="A36" s="14" t="str">
        <x:v>第 2 期</x:v>
      </x:c>
      <x:c r="B36" s="14" t="str">
        <x:v>P2-BE-001</x:v>
      </x:c>
      <x:c r="C36" s="14" t="str">
        <x:v>后端</x:v>
      </x:c>
      <x:c r="D36" s="14" t="str">
        <x:v>OpenAI</x:v>
      </x:c>
      <x:c r="E36" s="14" t="str">
        <x:v>接入真实生成</x:v>
      </x:c>
      <x:c r="F36" s="14" t="str">
        <x:v>平台 API Key、`gpt-image-2`、medium、超时、限流和供应商 request ID</x:v>
      </x:c>
      <x:c r="G36" s="14" t="str">
        <x:v>待完成</x:v>
      </x:c>
      <x:c r="H36" s="14" t="str">
        <x:v>08-31～09-02</x:v>
      </x:c>
      <x:c r="I36" s="14" t="str">
        <x:v>—</x:v>
      </x:c>
    </x:row>
    <x:row r="37" ht="44" customHeight="1">
      <x:c r="A37" s="14" t="str">
        <x:v>第 2 期</x:v>
      </x:c>
      <x:c r="B37" s="14" t="str">
        <x:v>P2-BE-002</x:v>
      </x:c>
      <x:c r="C37" s="14" t="str">
        <x:v>后端</x:v>
      </x:c>
      <x:c r="D37" s="14" t="str">
        <x:v>内容安全</x:v>
      </x:c>
      <x:c r="E37" s="14" t="str">
        <x:v>请求与结果检查</x:v>
      </x:c>
      <x:c r="F37" s="14" t="str">
        <x:v>通用 UI 图标边界；品牌/角色/违法请求拦截；拦截不扣点</x:v>
      </x:c>
      <x:c r="G37" s="14" t="str">
        <x:v>待完成</x:v>
      </x:c>
      <x:c r="H37" s="14" t="str">
        <x:v>08-31～09-02</x:v>
      </x:c>
      <x:c r="I37" s="14" t="str">
        <x:v>—</x:v>
      </x:c>
    </x:row>
    <x:row r="38" ht="44" customHeight="1">
      <x:c r="A38" s="14" t="str">
        <x:v>第 2 期</x:v>
      </x:c>
      <x:c r="B38" s="14" t="str">
        <x:v>P2-BE-003</x:v>
      </x:c>
      <x:c r="C38" s="14" t="str">
        <x:v>后端</x:v>
      </x:c>
      <x:c r="D38" s="14" t="str">
        <x:v>图片处理</x:v>
      </x:c>
      <x:c r="E38" s="14" t="str">
        <x:v>PNG 母版与尺寸派生</x:v>
      </x:c>
      <x:c r="F38" s="14" t="str">
        <x:v>正方形裁切；16–1024px；RGBA；背景规则；基础质量检查</x:v>
      </x:c>
      <x:c r="G38" s="14" t="str">
        <x:v>待完成</x:v>
      </x:c>
      <x:c r="H38" s="14" t="str">
        <x:v>09-01～09-04</x:v>
      </x:c>
      <x:c r="I38" s="14" t="str">
        <x:v>—</x:v>
      </x:c>
    </x:row>
    <x:row r="39" ht="44" customHeight="1">
      <x:c r="A39" s="14" t="str">
        <x:v>第 2 期</x:v>
      </x:c>
      <x:c r="B39" s="14" t="str">
        <x:v>P2-BE-004</x:v>
      </x:c>
      <x:c r="C39" s="14" t="str">
        <x:v>后端</x:v>
      </x:c>
      <x:c r="D39" s="14" t="str">
        <x:v>私有存储</x:v>
      </x:c>
      <x:c r="E39" s="14" t="str">
        <x:v>v2 对象路径与 RLS</x:v>
      </x:c>
      <x:c r="F39" s="14" t="str">
        <x:v>`{job}/{subject}/variant-{slot}/{size}.png`；私有 Bucket；所有权测试</x:v>
      </x:c>
      <x:c r="G39" s="14" t="str">
        <x:v>待完成</x:v>
      </x:c>
      <x:c r="H39" s="14" t="str">
        <x:v>09-02～09-04</x:v>
      </x:c>
      <x:c r="I39" s="14" t="str">
        <x:v>—</x:v>
      </x:c>
    </x:row>
    <x:row r="40" ht="44" customHeight="1">
      <x:c r="A40" s="14" t="str">
        <x:v>第 2 期</x:v>
      </x:c>
      <x:c r="B40" s="14" t="str">
        <x:v>P2-BE-005</x:v>
      </x:c>
      <x:c r="C40" s="14" t="str">
        <x:v>后端</x:v>
      </x:c>
      <x:c r="D40" s="14" t="str">
        <x:v>状态与返还</x:v>
      </x:c>
      <x:c r="E40" s="14" t="str">
        <x:v>部分成功处理</x:v>
      </x:c>
      <x:c r="F40" s="14" t="str">
        <x:v>自动重试；最终不足 3 个方案返还该主体 1 点；幂等账本</x:v>
      </x:c>
      <x:c r="G40" s="14" t="str">
        <x:v>待完成</x:v>
      </x:c>
      <x:c r="H40" s="14" t="str">
        <x:v>09-03～09-05</x:v>
      </x:c>
      <x:c r="I40" s="14" t="str">
        <x:v>—</x:v>
      </x:c>
    </x:row>
    <x:row r="41" ht="44" customHeight="1">
      <x:c r="A41" s="14" t="str">
        <x:v>第 2 期</x:v>
      </x:c>
      <x:c r="B41" s="14" t="str">
        <x:v>P2-FE-001</x:v>
      </x:c>
      <x:c r="C41" s="14" t="str">
        <x:v>前端</x:v>
      </x:c>
      <x:c r="D41" s="14" t="str">
        <x:v>结果页</x:v>
      </x:c>
      <x:c r="E41" s="14" t="str">
        <x:v>真实进度与异常状态</x:v>
      </x:c>
      <x:c r="F41" s="14" t="str">
        <x:v>queued/processing/completed/partial/failed；退款提示；网络恢复</x:v>
      </x:c>
      <x:c r="G41" s="14" t="str">
        <x:v>待完成</x:v>
      </x:c>
      <x:c r="H41" s="14" t="str">
        <x:v>09-03～09-05</x:v>
      </x:c>
      <x:c r="I41" s="14" t="str">
        <x:v>—</x:v>
      </x:c>
    </x:row>
    <x:row r="42" ht="44" customHeight="1">
      <x:c r="A42" s="14" t="str">
        <x:v>第 2 期</x:v>
      </x:c>
      <x:c r="B42" s="14" t="str">
        <x:v>P2-FE-002</x:v>
      </x:c>
      <x:c r="C42" s="14" t="str">
        <x:v>前端</x:v>
      </x:c>
      <x:c r="D42" s="14" t="str">
        <x:v>结果页</x:v>
      </x:c>
      <x:c r="E42" s="14" t="str">
        <x:v>方案选择与首选</x:v>
      </x:c>
      <x:c r="F42" s="14" t="str">
        <x:v>多选；同主体可多选；每主体一个首选；服务端持久化</x:v>
      </x:c>
      <x:c r="G42" s="14" t="str">
        <x:v>待完成</x:v>
      </x:c>
      <x:c r="H42" s="14" t="str">
        <x:v>09-04～09-06</x:v>
      </x:c>
      <x:c r="I42" s="14" t="str">
        <x:v>—</x:v>
      </x:c>
    </x:row>
    <x:row r="43" ht="44" customHeight="1">
      <x:c r="A43" s="14" t="str">
        <x:v>第 2 期</x:v>
      </x:c>
      <x:c r="B43" s="14" t="str">
        <x:v>P2-BE-006</x:v>
      </x:c>
      <x:c r="C43" s="14" t="str">
        <x:v>后端</x:v>
      </x:c>
      <x:c r="D43" s="14" t="str">
        <x:v>作品</x:v>
      </x:c>
      <x:c r="E43" s="14" t="str">
        <x:v>历史列表 API</x:v>
      </x:c>
      <x:c r="F43" s="14" t="str">
        <x:v>用户自己的任务；筛选、搜索、排序、游标分页、到期时间</x:v>
      </x:c>
      <x:c r="G43" s="14" t="str">
        <x:v>待完成</x:v>
      </x:c>
      <x:c r="H43" s="14" t="str">
        <x:v>09-04～09-06</x:v>
      </x:c>
      <x:c r="I43" s="14" t="str">
        <x:v>—</x:v>
      </x:c>
    </x:row>
    <x:row r="44" ht="44" customHeight="1">
      <x:c r="A44" s="14" t="str">
        <x:v>第 2 期</x:v>
      </x:c>
      <x:c r="B44" s="14" t="str">
        <x:v>P2-FE-003</x:v>
      </x:c>
      <x:c r="C44" s="14" t="str">
        <x:v>前端</x:v>
      </x:c>
      <x:c r="D44" s="14" t="str">
        <x:v>作品</x:v>
      </x:c>
      <x:c r="E44" s="14" t="str">
        <x:v>我的图标页</x:v>
      </x:c>
      <x:c r="F44" s="14" t="str">
        <x:v>真实任务卡、缩略图、状态、分页、空状态和再次生成</x:v>
      </x:c>
      <x:c r="G44" s="14" t="str">
        <x:v>待完成</x:v>
      </x:c>
      <x:c r="H44" s="14" t="str">
        <x:v>09-05～09-07</x:v>
      </x:c>
      <x:c r="I44" s="14" t="str">
        <x:v>—</x:v>
      </x:c>
    </x:row>
    <x:row r="45" ht="44" customHeight="1">
      <x:c r="A45" s="14" t="str">
        <x:v>第 2 期</x:v>
      </x:c>
      <x:c r="B45" s="14" t="str">
        <x:v>P2-BE-007</x:v>
      </x:c>
      <x:c r="C45" s="14" t="str">
        <x:v>后端</x:v>
      </x:c>
      <x:c r="D45" s="14" t="str">
        <x:v>单图下载</x:v>
      </x:c>
      <x:c r="E45" s="14" t="str">
        <x:v>签名 PNG 下载接口</x:v>
      </x:c>
      <x:c r="F45" s="14" t="str">
        <x:v>variant/尺寸/所有权校验；短时 URL；过期与未就绪错误</x:v>
      </x:c>
      <x:c r="G45" s="14" t="str">
        <x:v>待完成</x:v>
      </x:c>
      <x:c r="H45" s="14" t="str">
        <x:v>09-06～09-07</x:v>
      </x:c>
      <x:c r="I45" s="14" t="str">
        <x:v>—</x:v>
      </x:c>
    </x:row>
    <x:row r="46" ht="44" customHeight="1">
      <x:c r="A46" s="14" t="str">
        <x:v>第 2 期</x:v>
      </x:c>
      <x:c r="B46" s="14" t="str">
        <x:v>P2-FE-004</x:v>
      </x:c>
      <x:c r="C46" s="14" t="str">
        <x:v>前端</x:v>
      </x:c>
      <x:c r="D46" s="14" t="str">
        <x:v>单图下载</x:v>
      </x:c>
      <x:c r="E46" s="14" t="str">
        <x:v>单张预览与下载</x:v>
      </x:c>
      <x:c r="F46" s="14" t="str">
        <x:v>放大、透明棋盘、尺寸切换、真实 Download PNG 按钮</x:v>
      </x:c>
      <x:c r="G46" s="14" t="str">
        <x:v>待完成</x:v>
      </x:c>
      <x:c r="H46" s="14" t="str">
        <x:v>09-06～09-08</x:v>
      </x:c>
      <x:c r="I46" s="14" t="str">
        <x:v>—</x:v>
      </x:c>
    </x:row>
    <x:row r="47" ht="44" customHeight="1">
      <x:c r="A47" s="14" t="str">
        <x:v>第 2 期</x:v>
      </x:c>
      <x:c r="B47" s="14" t="str">
        <x:v>P2-BE-008</x:v>
      </x:c>
      <x:c r="C47" s="14" t="str">
        <x:v>后端</x:v>
      </x:c>
      <x:c r="D47" s="14" t="str">
        <x:v>ZIP</x:v>
      </x:c>
      <x:c r="E47" s="14" t="str">
        <x:v>选中结果归档</x:v>
      </x:c>
      <x:c r="F47" s="14" t="str">
        <x:v>resultIds+sizes 校验；异步 ZIP；目录结构；manifest；24 小时复用</x:v>
      </x:c>
      <x:c r="G47" s="14" t="str">
        <x:v>待完成</x:v>
      </x:c>
      <x:c r="H47" s="14" t="str">
        <x:v>09-07～09-09</x:v>
      </x:c>
      <x:c r="I47" s="14" t="str">
        <x:v>—</x:v>
      </x:c>
    </x:row>
    <x:row r="48" ht="44" customHeight="1">
      <x:c r="A48" s="14" t="str">
        <x:v>第 2 期</x:v>
      </x:c>
      <x:c r="B48" s="14" t="str">
        <x:v>P2-FE-005</x:v>
      </x:c>
      <x:c r="C48" s="14" t="str">
        <x:v>前端</x:v>
      </x:c>
      <x:c r="D48" s="14" t="str">
        <x:v>ZIP</x:v>
      </x:c>
      <x:c r="E48" s="14" t="str">
        <x:v>选择栏与 ZIP 下载</x:v>
      </x:c>
      <x:c r="F48" s="14" t="str">
        <x:v>Selected X、全选/清除、无选择错误、归档进度与下载</x:v>
      </x:c>
      <x:c r="G48" s="14" t="str">
        <x:v>待完成</x:v>
      </x:c>
      <x:c r="H48" s="14" t="str">
        <x:v>09-08～09-10</x:v>
      </x:c>
      <x:c r="I48" s="14" t="str">
        <x:v>—</x:v>
      </x:c>
    </x:row>
    <x:row r="49" ht="44" customHeight="1">
      <x:c r="A49" s="14" t="str">
        <x:v>第 2 期</x:v>
      </x:c>
      <x:c r="B49" s="14" t="str">
        <x:v>P2-BE-009</x:v>
      </x:c>
      <x:c r="C49" s="14" t="str">
        <x:v>后端</x:v>
      </x:c>
      <x:c r="D49" s="14" t="str">
        <x:v>生命周期</x:v>
      </x:c>
      <x:c r="E49" s="14" t="str">
        <x:v>30 天资产清理</x:v>
      </x:c>
      <x:c r="F49" s="14" t="str">
        <x:v>到期扫描、删除母版/派生图/临时 ZIP、保留脱敏资金引用</x:v>
      </x:c>
      <x:c r="G49" s="14" t="str">
        <x:v>待完成</x:v>
      </x:c>
      <x:c r="H49" s="14" t="str">
        <x:v>09-09～09-10</x:v>
      </x:c>
      <x:c r="I49" s="14" t="str">
        <x:v>—</x:v>
      </x:c>
    </x:row>
    <x:row r="50" ht="44" customHeight="1">
      <x:c r="A50" s="14" t="str">
        <x:v>第 2 期</x:v>
      </x:c>
      <x:c r="B50" s="14" t="str">
        <x:v>P2-FE-006</x:v>
      </x:c>
      <x:c r="C50" s="14" t="str">
        <x:v>前端</x:v>
      </x:c>
      <x:c r="D50" s="14" t="str">
        <x:v>生命周期</x:v>
      </x:c>
      <x:c r="E50" s="14" t="str">
        <x:v>到期信息展示</x:v>
      </x:c>
      <x:c r="F50" s="14" t="str">
        <x:v>历史与详情展示到期时间、已过期状态和不可恢复说明</x:v>
      </x:c>
      <x:c r="G50" s="14" t="str">
        <x:v>待完成</x:v>
      </x:c>
      <x:c r="H50" s="14" t="str">
        <x:v>09-09～09-10</x:v>
      </x:c>
      <x:c r="I50" s="14" t="str">
        <x:v>—</x:v>
      </x:c>
    </x:row>
    <x:row r="51" ht="44" customHeight="1">
      <x:c r="A51" s="14" t="str">
        <x:v>第 2 期</x:v>
      </x:c>
      <x:c r="B51" s="14" t="str">
        <x:v>P2-BE-010</x:v>
      </x:c>
      <x:c r="C51" s="14" t="str">
        <x:v>后端</x:v>
      </x:c>
      <x:c r="D51" s="14" t="str">
        <x:v>可观测性</x:v>
      </x:c>
      <x:c r="E51" s="14" t="str">
        <x:v>生成链路日志与告警</x:v>
      </x:c>
      <x:c r="F51" s="14" t="str">
        <x:v>任务/主体/variant 耗时、错误码、DLQ、无敏感 Prompt/Key</x:v>
      </x:c>
      <x:c r="G51" s="14" t="str">
        <x:v>待完成</x:v>
      </x:c>
      <x:c r="H51" s="14" t="str">
        <x:v>09-10～09-11</x:v>
      </x:c>
      <x:c r="I51" s="14" t="str">
        <x:v>—</x:v>
      </x:c>
    </x:row>
    <x:row r="52" ht="44" customHeight="1">
      <x:c r="A52" s="14" t="str">
        <x:v>第 2 期</x:v>
      </x:c>
      <x:c r="B52" s="14" t="str">
        <x:v>P2-FE-007</x:v>
      </x:c>
      <x:c r="C52" s="14" t="str">
        <x:v>前端</x:v>
      </x:c>
      <x:c r="D52" s="14" t="str">
        <x:v>国际化</x:v>
      </x:c>
      <x:c r="E52" s="14" t="str">
        <x:v>核心生成闭环双语</x:v>
      </x:c>
      <x:c r="F52" s="14" t="str">
        <x:v>创建、进度、结果、历史、下载和错误文案中英文完整</x:v>
      </x:c>
      <x:c r="G52" s="14" t="str">
        <x:v>待完成</x:v>
      </x:c>
      <x:c r="H52" s="14" t="str">
        <x:v>09-10～09-11</x:v>
      </x:c>
      <x:c r="I52" s="14" t="str">
        <x:v>—</x:v>
      </x:c>
    </x:row>
    <x:row r="53" ht="44" customHeight="1">
      <x:c r="A53" s="14" t="str">
        <x:v>第 2 期</x:v>
      </x:c>
      <x:c r="B53" s="14" t="str">
        <x:v>P2-QA-001</x:v>
      </x:c>
      <x:c r="C53" s="14" t="str">
        <x:v>前后端共享</x:v>
      </x:c>
      <x:c r="D53" s="14" t="str">
        <x:v>验收</x:v>
      </x:c>
      <x:c r="E53" s="14" t="str">
        <x:v>真实生成与下载测试</x:v>
      </x:c>
      <x:c r="F53" s="14" t="str">
        <x:v>5 主体→15 槽位；透明/有背景；尺寸；单图；ZIP；越权；返还</x:v>
      </x:c>
      <x:c r="G53" s="14" t="str">
        <x:v>待完成</x:v>
      </x:c>
      <x:c r="H53" s="14" t="str">
        <x:v>09-12～09-13</x:v>
      </x:c>
      <x:c r="I53" s="14" t="str">
        <x:v>—</x:v>
      </x:c>
    </x:row>
    <x:row r="54" ht="44" customHeight="1">
      <x:c r="A54" s="14" t="str">
        <x:v>第 3 期</x:v>
      </x:c>
      <x:c r="B54" s="14" t="str">
        <x:v>P3-BE-001</x:v>
      </x:c>
      <x:c r="C54" s="14" t="str">
        <x:v>后端</x:v>
      </x:c>
      <x:c r="D54" s="14" t="str">
        <x:v>点数包</x:v>
      </x:c>
      <x:c r="E54" s="14" t="str">
        <x:v>版本化三个套餐</x:v>
      </x:c>
      <x:c r="F54" s="14" t="str">
        <x:v>30/$2.99、75/$6.49、180/$12.99；启停状态；Stripe Price ID</x:v>
      </x:c>
      <x:c r="G54" s="14" t="str">
        <x:v>待完成</x:v>
      </x:c>
      <x:c r="H54" s="14" t="str">
        <x:v>09-14～09-15</x:v>
      </x:c>
      <x:c r="I54" s="14" t="str">
        <x:v>—</x:v>
      </x:c>
    </x:row>
    <x:row r="55" ht="44" customHeight="1">
      <x:c r="A55" s="14" t="str">
        <x:v>第 3 期</x:v>
      </x:c>
      <x:c r="B55" s="14" t="str">
        <x:v>P3-BE-002</x:v>
      </x:c>
      <x:c r="C55" s="14" t="str">
        <x:v>后端</x:v>
      </x:c>
      <x:c r="D55" s="14" t="str">
        <x:v>Stripe</x:v>
      </x:c>
      <x:c r="E55" s="14" t="str">
        <x:v>Checkout API</x:v>
      </x:c>
      <x:c r="F55" s="14" t="str">
        <x:v>登录/验证检查；packageId；后端生成业务订单号；订单号唯一冲突重试；`(user_id,idempotency_key)` 防重复；固化套餐/价格/金额/币种/点数快照；创建 pending 订单和 Stripe Session；metadata 映射内部 UUID；返回 orderNumber 和 checkoutUrl；创建失败可追踪；支持本人订单状态查询</x:v>
      </x:c>
      <x:c r="G55" s="14" t="str">
        <x:v>待完成</x:v>
      </x:c>
      <x:c r="H55" s="14" t="str">
        <x:v>09-15～09-16</x:v>
      </x:c>
      <x:c r="I55" s="14" t="str">
        <x:v>—</x:v>
      </x:c>
    </x:row>
    <x:row r="56" ht="44" customHeight="1">
      <x:c r="A56" s="14" t="str">
        <x:v>第 3 期</x:v>
      </x:c>
      <x:c r="B56" s="14" t="str">
        <x:v>P3-BE-003</x:v>
      </x:c>
      <x:c r="C56" s="14" t="str">
        <x:v>后端</x:v>
      </x:c>
      <x:c r="D56" s="14" t="str">
        <x:v>Stripe</x:v>
      </x:c>
      <x:c r="E56" s="14" t="str">
        <x:v>Webhook 入账</x:v>
      </x:c>
      <x:c r="F56" s="14" t="str">
        <x:v>原始请求验签；Event 去重；核对内部订单 UUID、Session、金额和币种；订单行锁；订单、余额和账本同事务；处理 paid/canceled/expired/failed/refunded；重复和乱序事件测试</x:v>
      </x:c>
      <x:c r="G56" s="14" t="str">
        <x:v>待完成</x:v>
      </x:c>
      <x:c r="H56" s="14" t="str">
        <x:v>09-16～09-17</x:v>
      </x:c>
      <x:c r="I56" s="14" t="str">
        <x:v>—</x:v>
      </x:c>
    </x:row>
    <x:row r="57" ht="44" customHeight="1">
      <x:c r="A57" s="14" t="str">
        <x:v>第 3 期</x:v>
      </x:c>
      <x:c r="B57" s="14" t="str">
        <x:v>P3-FE-001</x:v>
      </x:c>
      <x:c r="C57" s="14" t="str">
        <x:v>前端</x:v>
      </x:c>
      <x:c r="D57" s="14" t="str">
        <x:v>支付</x:v>
      </x:c>
      <x:c r="E57" s="14" t="str">
        <x:v>真实价格与 Checkout</x:v>
      </x:c>
      <x:c r="F57" s="14" t="str">
        <x:v>获取套餐；选择套餐；跳转 Stripe；错误和登录拦截</x:v>
      </x:c>
      <x:c r="G57" s="14" t="str">
        <x:v>待完成</x:v>
      </x:c>
      <x:c r="H57" s="14" t="str">
        <x:v>09-15～09-17</x:v>
      </x:c>
      <x:c r="I57" s="14" t="str">
        <x:v>—</x:v>
      </x:c>
    </x:row>
    <x:row r="58" ht="44" customHeight="1">
      <x:c r="A58" s="14" t="str">
        <x:v>第 3 期</x:v>
      </x:c>
      <x:c r="B58" s="14" t="str">
        <x:v>P3-FE-002</x:v>
      </x:c>
      <x:c r="C58" s="14" t="str">
        <x:v>前端</x:v>
      </x:c>
      <x:c r="D58" s="14" t="str">
        <x:v>支付</x:v>
      </x:c>
      <x:c r="E58" s="14" t="str">
        <x:v>支付结果页</x:v>
      </x:c>
      <x:c r="F58" s="14" t="str">
        <x:v>确认中、成功、取消、失败、入账延迟和余额刷新</x:v>
      </x:c>
      <x:c r="G58" s="14" t="str">
        <x:v>待完成</x:v>
      </x:c>
      <x:c r="H58" s="14" t="str">
        <x:v>09-17～09-18</x:v>
      </x:c>
      <x:c r="I58" s="14" t="str">
        <x:v>—</x:v>
      </x:c>
    </x:row>
    <x:row r="59" ht="44" customHeight="1">
      <x:c r="A59" s="14" t="str">
        <x:v>第 3 期</x:v>
      </x:c>
      <x:c r="B59" s="14" t="str">
        <x:v>P3-BE-004</x:v>
      </x:c>
      <x:c r="C59" s="14" t="str">
        <x:v>后端</x:v>
      </x:c>
      <x:c r="D59" s="14" t="str">
        <x:v>删除账户</x:v>
      </x:c>
      <x:c r="E59" s="14" t="str">
        <x:v>30 天宽限状态机</x:v>
      </x:c>
      <x:c r="F59" s="14" t="str">
        <x:v>申请、重新认证、禁止生成/支付、撤销、期满清理</x:v>
      </x:c>
      <x:c r="G59" s="14" t="str">
        <x:v>待完成</x:v>
      </x:c>
      <x:c r="H59" s="14" t="str">
        <x:v>09-18～09-20</x:v>
      </x:c>
      <x:c r="I59" s="14" t="str">
        <x:v>—</x:v>
      </x:c>
    </x:row>
    <x:row r="60" ht="44" customHeight="1">
      <x:c r="A60" s="14" t="str">
        <x:v>第 3 期</x:v>
      </x:c>
      <x:c r="B60" s="14" t="str">
        <x:v>P3-BE-005</x:v>
      </x:c>
      <x:c r="C60" s="14" t="str">
        <x:v>后端</x:v>
      </x:c>
      <x:c r="D60" s="14" t="str">
        <x:v>数据导出</x:v>
      </x:c>
      <x:c r="E60" s="14" t="str">
        <x:v>删除前个人数据 ZIP</x:v>
      </x:c>
      <x:c r="F60" s="14" t="str">
        <x:v>profile.json；带业务订单号和价格快照的 orders.csv；credit-ledger.csv；从订单+账本计算 billing-summary.json；有效 PNG 与 manifest；异步；24 小时；所有权校验</x:v>
      </x:c>
      <x:c r="G60" s="14" t="str">
        <x:v>待完成</x:v>
      </x:c>
      <x:c r="H60" s="14" t="str">
        <x:v>09-19～09-21</x:v>
      </x:c>
      <x:c r="I60" s="14" t="str">
        <x:v>—</x:v>
      </x:c>
    </x:row>
    <x:row r="61" ht="44" customHeight="1">
      <x:c r="A61" s="14" t="str">
        <x:v>第 3 期</x:v>
      </x:c>
      <x:c r="B61" s="14" t="str">
        <x:v>P3-FE-003</x:v>
      </x:c>
      <x:c r="C61" s="14" t="str">
        <x:v>前端</x:v>
      </x:c>
      <x:c r="D61" s="14" t="str">
        <x:v>删除账户</x:v>
      </x:c>
      <x:c r="E61" s="14" t="str">
        <x:v>删除与数据导出页面</x:v>
      </x:c>
      <x:c r="F61" s="14" t="str">
        <x:v>二次确认、倒计时、导出内容说明、下载数据、进度、失败重试和撤销</x:v>
      </x:c>
      <x:c r="G61" s="14" t="str">
        <x:v>待完成</x:v>
      </x:c>
      <x:c r="H61" s="14" t="str">
        <x:v>09-20～09-22</x:v>
      </x:c>
      <x:c r="I61" s="14" t="str">
        <x:v>—</x:v>
      </x:c>
    </x:row>
    <x:row r="62" ht="44" customHeight="1">
      <x:c r="A62" s="14" t="str">
        <x:v>第 3 期</x:v>
      </x:c>
      <x:c r="B62" s="14" t="str">
        <x:v>P3-BE-006</x:v>
      </x:c>
      <x:c r="C62" s="14" t="str">
        <x:v>后端</x:v>
      </x:c>
      <x:c r="D62" s="14" t="str">
        <x:v>最小运营</x:v>
      </x:c>
      <x:c r="E62" s="14" t="str">
        <x:v>受保护运营 API</x:v>
      </x:c>
      <x:c r="F62" s="14" t="str">
        <x:v>任务查询/重试、订单/Webhook 查询、人工调点和审计</x:v>
      </x:c>
      <x:c r="G62" s="14" t="str">
        <x:v>待完成</x:v>
      </x:c>
      <x:c r="H62" s="14" t="str">
        <x:v>09-20～09-22</x:v>
      </x:c>
      <x:c r="I62" s="14" t="str">
        <x:v>—</x:v>
      </x:c>
    </x:row>
    <x:row r="63" ht="44" customHeight="1">
      <x:c r="A63" s="14" t="str">
        <x:v>第 3 期</x:v>
      </x:c>
      <x:c r="B63" s="14" t="str">
        <x:v>P3-FE-004</x:v>
      </x:c>
      <x:c r="C63" s="14" t="str">
        <x:v>前端</x:v>
      </x:c>
      <x:c r="D63" s="14" t="str">
        <x:v>最小运营</x:v>
      </x:c>
      <x:c r="E63" s="14" t="str">
        <x:v>`/admin/operations`</x:v>
      </x:c>
      <x:c r="F63" s="14" t="str">
        <x:v>单页四区；无完整后台、数据看板、用户管理或设置编辑器</x:v>
      </x:c>
      <x:c r="G63" s="14" t="str">
        <x:v>待完成</x:v>
      </x:c>
      <x:c r="H63" s="14" t="str">
        <x:v>09-21～09-23</x:v>
      </x:c>
      <x:c r="I63" s="14" t="str">
        <x:v>—</x:v>
      </x:c>
    </x:row>
    <x:row r="64" ht="44" customHeight="1">
      <x:c r="A64" s="14" t="str">
        <x:v>第 3 期</x:v>
      </x:c>
      <x:c r="B64" s="14" t="str">
        <x:v>P3-INF-001</x:v>
      </x:c>
      <x:c r="C64" s="14" t="str">
        <x:v>后端/基础设施</x:v>
      </x:c>
      <x:c r="D64" s="14" t="str">
        <x:v>部署</x:v>
      </x:c>
      <x:c r="E64" s="14" t="str">
        <x:v>Web 与数据部署</x:v>
      </x:c>
      <x:c r="F64" s="14" t="str">
        <x:v>Vercel、Supabase 生产项目、私有 Bucket、环境变量和域名</x:v>
      </x:c>
      <x:c r="G64" s="14" t="str">
        <x:v>待完成</x:v>
      </x:c>
      <x:c r="H64" s="14" t="str">
        <x:v>09-22～09-24</x:v>
      </x:c>
      <x:c r="I64" s="14" t="str">
        <x:v>—</x:v>
      </x:c>
    </x:row>
    <x:row r="65" ht="44" customHeight="1">
      <x:c r="A65" s="14" t="str">
        <x:v>第 3 期</x:v>
      </x:c>
      <x:c r="B65" s="14" t="str">
        <x:v>P3-INF-002</x:v>
      </x:c>
      <x:c r="C65" s="14" t="str">
        <x:v>后端/基础设施</x:v>
      </x:c>
      <x:c r="D65" s="14" t="str">
        <x:v>Worker</x:v>
      </x:c>
      <x:c r="E65" s="14" t="str">
        <x:v>AWS 部署</x:v>
      </x:c>
      <x:c r="F65" s="14" t="str">
        <x:v>SQS、DLQ、Lambda、并发限制、CloudWatch 告警与密钥</x:v>
      </x:c>
      <x:c r="G65" s="14" t="str">
        <x:v>待完成</x:v>
      </x:c>
      <x:c r="H65" s="14" t="str">
        <x:v>09-22～09-24</x:v>
      </x:c>
      <x:c r="I65" s="14" t="str">
        <x:v>—</x:v>
      </x:c>
    </x:row>
    <x:row r="66" ht="44" customHeight="1">
      <x:c r="A66" s="14" t="str">
        <x:v>第 3 期</x:v>
      </x:c>
      <x:c r="B66" s="14" t="str">
        <x:v>P3-INF-003</x:v>
      </x:c>
      <x:c r="C66" s="14" t="str">
        <x:v>前后端共享</x:v>
      </x:c>
      <x:c r="D66" s="14" t="str">
        <x:v>安全</x:v>
      </x:c>
      <x:c r="E66" s="14" t="str">
        <x:v>生产安全检查</x:v>
      </x:c>
      <x:c r="F66" s="14" t="str">
        <x:v>RLS 越权、Webhook 伪造、幂等、密钥泄漏、内容政策和速率限制</x:v>
      </x:c>
      <x:c r="G66" s="14" t="str">
        <x:v>待完成</x:v>
      </x:c>
      <x:c r="H66" s="14" t="str">
        <x:v>09-24～09-25</x:v>
      </x:c>
      <x:c r="I66" s="14" t="str">
        <x:v>—</x:v>
      </x:c>
    </x:row>
    <x:row r="67" ht="44" customHeight="1">
      <x:c r="A67" s="14" t="str">
        <x:v>第 3 期</x:v>
      </x:c>
      <x:c r="B67" s="14" t="str">
        <x:v>P3-DOC-001</x:v>
      </x:c>
      <x:c r="C67" s="14" t="str">
        <x:v>前后端共享</x:v>
      </x:c>
      <x:c r="D67" s="14" t="str">
        <x:v>上线资料</x:v>
      </x:c>
      <x:c r="E67" s="14" t="str">
        <x:v>法务与支持配置</x:v>
      </x:c>
      <x:c r="F67" s="14" t="str">
        <x:v>Terms、Privacy、Refund、支持邮箱、经营主体和 Cookie 决策</x:v>
      </x:c>
      <x:c r="G67" s="14" t="str">
        <x:v>待完成</x:v>
      </x:c>
      <x:c r="H67" s="14" t="str">
        <x:v>09-24～09-25</x:v>
      </x:c>
      <x:c r="I67" s="14" t="str">
        <x:v>—</x:v>
      </x:c>
    </x:row>
    <x:row r="68" ht="44" customHeight="1">
      <x:c r="A68" s="14" t="str">
        <x:v>第 3 期</x:v>
      </x:c>
      <x:c r="B68" s="14" t="str">
        <x:v>P3-QA-001</x:v>
      </x:c>
      <x:c r="C68" s="14" t="str">
        <x:v>前后端共享</x:v>
      </x:c>
      <x:c r="D68" s="14" t="str">
        <x:v>E2E</x:v>
      </x:c>
      <x:c r="E68" s="14" t="str">
        <x:v>完整商业闭环</x:v>
      </x:c>
      <x:c r="F68" s="14" t="str">
        <x:v>注册送 6 点→生成→单图/ZIP→购买→再次生成→删除账户导出并核对资料/订单/账本/摘要/PNG</x:v>
      </x:c>
      <x:c r="G68" s="14" t="str">
        <x:v>待完成</x:v>
      </x:c>
      <x:c r="H68" s="14" t="str">
        <x:v>09-25～09-26</x:v>
      </x:c>
      <x:c r="I68" s="14" t="str">
        <x:v>—</x:v>
      </x:c>
    </x:row>
    <x:row r="69" ht="44" customHeight="1">
      <x:c r="A69" s="14" t="str">
        <x:v>第 3 期</x:v>
      </x:c>
      <x:c r="B69" s="14" t="str">
        <x:v>P3-QA-002</x:v>
      </x:c>
      <x:c r="C69" s="14" t="str">
        <x:v>前后端共享</x:v>
      </x:c>
      <x:c r="D69" s="14" t="str">
        <x:v>发布</x:v>
      </x:c>
      <x:c r="E69" s="14" t="str">
        <x:v>上线验收</x:v>
      </x:c>
      <x:c r="F69" s="14" t="str">
        <x:v>桌面/移动端、中英文、可访问性、性能、错误恢复、监控和回滚</x:v>
      </x:c>
      <x:c r="G69" s="14" t="str">
        <x:v>待完成</x:v>
      </x:c>
      <x:c r="H69" s="14" t="str">
        <x:v>09-26～09-27</x:v>
      </x:c>
      <x:c r="I69" s="14" t="str">
        <x:v>—</x:v>
      </x:c>
    </x:row>
  </x:sheetData>
  <x:mergeCells>
    <x:mergeCell ref="A1:I1"/>
    <x:mergeCell ref="A2:I2"/>
  </x:mergeCells>
  <x:conditionalFormatting sqref="G4:G69">
    <x:cfRule type="containsText" dxfId="0" priority="1" operator="containsText" text="已完成"/>
    <x:cfRule type="containsText" dxfId="1" priority="2" operator="containsText" text="待完成"/>
  </x:conditionalFormatting>
  <x:dataValidations count="1">
    <x:dataValidation type="list" sqref="G4:G69">
      <x:formula1>"待完成,已完成"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03e30ee5054b80"/>
  </x:tableParts>
</x:worksheet>
</file>