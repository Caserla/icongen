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3426f3e4b49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阶段概览" sheetId="1" r:id="R666cb2548f71404d"/>
    <x:sheet xmlns:r="http://schemas.openxmlformats.org/officeDocument/2006/relationships" name="前端开发计划" sheetId="2" r:id="R0cd38a0d05c34783"/>
    <x:sheet xmlns:r="http://schemas.openxmlformats.org/officeDocument/2006/relationships" name="后端开发计划" sheetId="3" r:id="R80f6164390fb4d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2554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EEF2FF"/>
      </x:patternFill>
    </x:fill>
    <x:fill>
      <x:patternFill patternType="solid">
        <x:fgColor rgb="FF6750E8"/>
      </x:patternFill>
    </x:fill>
  </x:fills>
  <x:borders count="4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0" fillId="4" borderId="3" xfId="0" applyNumberFormat="1" applyFont="1" applyFill="1" applyBorder="1"/>
    <x:xf numFmtId="0" fontId="4" fillId="4" borderId="3" xfId="0" applyNumberFormat="1" applyFont="1" applyFill="1" applyBorder="1"/>
    <x:xf numFmtId="0" fontId="4" fillId="4" borderId="3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c76b0cfdc74d0c" /><Relationship Type="http://schemas.openxmlformats.org/officeDocument/2006/relationships/theme" Target="/xl/theme/theme1.xml" Id="Ra625a932ac4648fb" /><Relationship Type="http://schemas.openxmlformats.org/officeDocument/2006/relationships/sharedStrings" Target="/xl/sharedStrings.xml" Id="R6807df2907234208" /><Relationship Type="http://schemas.openxmlformats.org/officeDocument/2006/relationships/worksheet" Target="/xl/worksheets/sheet1.xml" Id="R666cb2548f71404d" /><Relationship Type="http://schemas.openxmlformats.org/officeDocument/2006/relationships/worksheet" Target="/xl/worksheets/sheet2.xml" Id="R0cd38a0d05c34783" /><Relationship Type="http://schemas.openxmlformats.org/officeDocument/2006/relationships/worksheet" Target="/xl/worksheets/sheet3.xml" Id="R80f6164390fb4dba" /></Relationships>
</file>

<file path=xl/tables/table1.xml><?xml version="1.0" encoding="utf-8"?>
<x:table xmlns:x="http://schemas.openxmlformats.org/spreadsheetml/2006/main" id="1" name="FrontendPlan" displayName="FrontendPlan" ref="A3:R155" headerRowCount="1" totalsRowCount="0" totalsRowShown="0">
  <x:tableColumns count="18">
    <x:tableColumn id="1" name="阶段"/>
    <x:tableColumn id="2" name="大需求/业务模块"/>
    <x:tableColumn id="3" name="父任务ID"/>
    <x:tableColumn id="4" name="父任务/功能点"/>
    <x:tableColumn id="5" name="小需求ID"/>
    <x:tableColumn id="6" name="责任端"/>
    <x:tableColumn id="7" name="小需求条目"/>
    <x:tableColumn id="8" name="开发交付物"/>
    <x:tableColumn id="9" name="验收标准"/>
    <x:tableColumn id="10" name="前置依赖"/>
    <x:tableColumn id="11" name="状态"/>
    <x:tableColumn id="12" name="计划日期"/>
    <x:tableColumn id="13" name="完成日期"/>
    <x:tableColumn id="14" name="业务对象与标识"/>
    <x:tableColumn id="15" name="状态模型"/>
    <x:tableColumn id="16" name="异常与边界"/>
    <x:tableColumn id="17" name="权限与安全"/>
    <x:tableColumn id="18" name="幂等、并发与生命周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ckendPlan" displayName="BackendPlan" ref="A3:R195" headerRowCount="1" totalsRowCount="0" totalsRowShown="0">
  <x:tableColumns count="18">
    <x:tableColumn id="1" name="阶段"/>
    <x:tableColumn id="2" name="大需求/业务模块"/>
    <x:tableColumn id="3" name="父任务ID"/>
    <x:tableColumn id="4" name="父任务/功能点"/>
    <x:tableColumn id="5" name="小需求ID"/>
    <x:tableColumn id="6" name="责任端"/>
    <x:tableColumn id="7" name="小需求条目"/>
    <x:tableColumn id="8" name="开发交付物"/>
    <x:tableColumn id="9" name="验收标准"/>
    <x:tableColumn id="10" name="前置依赖"/>
    <x:tableColumn id="11" name="状态"/>
    <x:tableColumn id="12" name="计划日期"/>
    <x:tableColumn id="13" name="完成日期"/>
    <x:tableColumn id="14" name="业务对象与标识"/>
    <x:tableColumn id="15" name="状态模型"/>
    <x:tableColumn id="16" name="异常与边界"/>
    <x:tableColumn id="17" name="权限与安全"/>
    <x:tableColumn id="18" name="幂等、并发与生命周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42b63f7ccf46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ea623ab2b84c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6" customHeight="1">
      <x:c r="A1" s="2" t="str">
        <x:v>IconGen 前后端详细开发计划</x:v>
      </x:c>
      <x:c r="B1" s="2"/>
      <x:c r="C1" s="2"/>
      <x:c r="D1" s="2"/>
      <x:c r="E1" s="2"/>
      <x:c r="F1" s="2"/>
      <x:c r="G1" s="2"/>
    </x:row>
    <x:row r="3" ht="32" customHeight="1">
      <x:c r="A3" s="18" t="str">
        <x:v>计划</x:v>
      </x:c>
      <x:c r="B3" s="18" t="str">
        <x:v>大需求数量</x:v>
      </x:c>
      <x:c r="C3" s="18" t="str">
        <x:v>原任务数量</x:v>
      </x:c>
      <x:c r="D3" s="18" t="str">
        <x:v>细化条目数</x:v>
      </x:c>
      <x:c r="E3" s="18" t="str">
        <x:v>已完成条目</x:v>
      </x:c>
      <x:c r="F3" s="18" t="str">
        <x:v>待完成条目</x:v>
      </x:c>
      <x:c r="G3" s="18" t="str">
        <x:v>完成率</x:v>
      </x:c>
    </x:row>
    <x:row r="4">
      <x:c r="A4" s="14" t="str">
        <x:v>前端开发计划</x:v>
      </x:c>
      <x:c r="B4" s="14" t="n">
        <x:f>COUNTA(_xlfn.UNIQUE('前端开发计划'!$B$4:$B$300))</x:f>
        <x:v>6</x:v>
      </x:c>
      <x:c r="C4" s="14" t="n">
        <x:f>COUNTA(_xlfn.UNIQUE('前端开发计划'!$C$4:$C$300))</x:f>
        <x:v>35</x:v>
      </x:c>
      <x:c r="D4" s="14" t="n">
        <x:f>COUNTA('前端开发计划'!$E$4:$E$300)</x:f>
        <x:v>152</x:v>
      </x:c>
      <x:c r="E4" s="14" t="n">
        <x:f>COUNTIF('前端开发计划'!$K$4:$K$300,"已完成")</x:f>
        <x:v>51</x:v>
      </x:c>
      <x:c r="F4" s="14" t="n">
        <x:f>COUNTIF('前端开发计划'!$K$4:$K$300,"待完成")</x:f>
        <x:v>101</x:v>
      </x:c>
      <x:c r="G4" s="15" t="n">
        <x:f>IF(D4=0,0,E4/D4)</x:f>
        <x:v>0.3355263157894737</x:v>
      </x:c>
    </x:row>
    <x:row r="5">
      <x:c r="A5" s="14" t="str">
        <x:v>后端开发计划</x:v>
      </x:c>
      <x:c r="B5" s="14" t="n">
        <x:f>COUNTA(_xlfn.UNIQUE('后端开发计划'!$B$4:$B$300))</x:f>
        <x:v>5</x:v>
      </x:c>
      <x:c r="C5" s="14" t="n">
        <x:f>COUNTA(_xlfn.UNIQUE('后端开发计划'!$C$4:$C$300))</x:f>
        <x:v>44</x:v>
      </x:c>
      <x:c r="D5" s="14" t="n">
        <x:f>COUNTA('后端开发计划'!$E$4:$E$300)</x:f>
        <x:v>192</x:v>
      </x:c>
      <x:c r="E5" s="14" t="n">
        <x:f>COUNTIF('后端开发计划'!$K$4:$K$300,"已完成")</x:f>
        <x:v>53</x:v>
      </x:c>
      <x:c r="F5" s="14" t="n">
        <x:f>COUNTIF('后端开发计划'!$K$4:$K$300,"待完成")</x:f>
        <x:v>139</x:v>
      </x:c>
      <x:c r="G5" s="15" t="n">
        <x:f>IF(D5=0,0,E5/D5)</x:f>
        <x:v>0.2760416666666667</x:v>
      </x:c>
    </x:row>
    <x:row r="7" ht="42" customHeight="1">
      <x:c r="A7" s="6" t="str">
        <x:v>结构说明：大需求 → 原任务 → 小需求条目。每个小需求拥有独立编号、交付物、验收标准、依赖、状态和日期；没有新增产品范围。</x:v>
      </x:c>
      <x:c r="B7" s="6"/>
      <x:c r="C7" s="6"/>
      <x:c r="D7" s="6"/>
      <x:c r="E7" s="6"/>
      <x:c r="F7" s="6"/>
      <x:c r="G7" s="6"/>
    </x:row>
  </x:sheetData>
  <x:mergeCells>
    <x:mergeCell ref="A1:G1"/>
    <x:mergeCell ref="A7:G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16" hidden="0" customWidth="1"/>
    <x:col min="4" max="4" width="29" hidden="0" customWidth="1"/>
    <x:col min="5" max="5" width="19" hidden="0" customWidth="1"/>
    <x:col min="6" max="6" width="18" hidden="0" customWidth="1"/>
    <x:col min="7" max="7" width="42" hidden="0" customWidth="1"/>
    <x:col min="8" max="8" width="42" hidden="0" customWidth="1"/>
    <x:col min="9" max="9" width="54" hidden="0" customWidth="1"/>
    <x:col min="10" max="10" width="22" hidden="0" customWidth="1"/>
    <x:col min="11" max="11" width="12" hidden="0" customWidth="1"/>
    <x:col min="12" max="12" width="20" hidden="0" customWidth="1"/>
    <x:col min="13" max="13" width="16" hidden="0" customWidth="1"/>
    <x:col min="14" max="14" width="48" hidden="0" customWidth="1"/>
    <x:col min="15" max="15" width="42" hidden="0" customWidth="1"/>
    <x:col min="16" max="16" width="48" hidden="0" customWidth="1"/>
    <x:col min="17" max="17" width="44" hidden="0" customWidth="1"/>
    <x:col min="18" max="18" width="54" hidden="0" customWidth="1"/>
  </x:cols>
  <x:sheetData>
    <x:row r="1" ht="34" customHeight="1">
      <x:c r="A1" s="7" t="str">
        <x:v>IconGen 前端详细开发计划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</x:row>
    <x:row r="2">
      <x:c r="A2" t="str">
        <x:v>状态维护规则：代码、测试、接口/页面验收全部完成后才能标记已完成；每条同时检查对象/标识、状态、异常、权限、幂等和生命周期。</x:v>
      </x:c>
    </x:row>
    <x:row r="3" ht="40" customHeight="1">
      <x:c r="A3" s="11" t="str">
        <x:v>阶段</x:v>
      </x:c>
      <x:c r="B3" s="11" t="str">
        <x:v>大需求/业务模块</x:v>
      </x:c>
      <x:c r="C3" s="11" t="str">
        <x:v>父任务ID</x:v>
      </x:c>
      <x:c r="D3" s="11" t="str">
        <x:v>父任务/功能点</x:v>
      </x:c>
      <x:c r="E3" s="11" t="str">
        <x:v>小需求ID</x:v>
      </x:c>
      <x:c r="F3" s="11" t="str">
        <x:v>责任端</x:v>
      </x:c>
      <x:c r="G3" s="11" t="str">
        <x:v>小需求条目</x:v>
      </x:c>
      <x:c r="H3" s="11" t="str">
        <x:v>开发交付物</x:v>
      </x:c>
      <x:c r="I3" s="11" t="str">
        <x:v>验收标准</x:v>
      </x:c>
      <x:c r="J3" s="11" t="str">
        <x:v>前置依赖</x:v>
      </x:c>
      <x:c r="K3" s="11" t="str">
        <x:v>状态</x:v>
      </x:c>
      <x:c r="L3" s="11" t="str">
        <x:v>计划日期</x:v>
      </x:c>
      <x:c r="M3" s="11" t="str">
        <x:v>完成日期</x:v>
      </x:c>
      <x:c r="N3" s="11" t="str">
        <x:v>业务对象与标识</x:v>
      </x:c>
      <x:c r="O3" s="11" t="str">
        <x:v>状态模型</x:v>
      </x:c>
      <x:c r="P3" s="11" t="str">
        <x:v>异常与边界</x:v>
      </x:c>
      <x:c r="Q3" s="11" t="str">
        <x:v>权限与安全</x:v>
      </x:c>
      <x:c r="R3" s="11" t="str">
        <x:v>幂等、并发与生命周期</x:v>
      </x:c>
    </x:row>
    <x:row r="4" ht="72" customHeight="1">
      <x:c r="A4" s="13" t="str">
        <x:v>第 1 期</x:v>
      </x:c>
      <x:c r="B4" s="13" t="str">
        <x:v>6. 平台、工程与上线</x:v>
      </x:c>
      <x:c r="C4" s="13" t="str">
        <x:v>P1-SH-001</x:v>
      </x:c>
      <x:c r="D4" s="13" t="str">
        <x:v>工程 / 建立 Monorepo</x:v>
      </x:c>
      <x:c r="E4" s="13" t="str">
        <x:v>P1-SH-001-01</x:v>
      </x:c>
      <x:c r="F4" s="13" t="str">
        <x:v>前端（共享任务）</x:v>
      </x:c>
      <x:c r="G4" s="13" t="str">
        <x:v>npm Workspaces</x:v>
      </x:c>
      <x:c r="H4" s="13" t="str">
        <x:v>npm Workspaces</x:v>
      </x:c>
      <x:c r="I4" s="13" t="str">
        <x:v>桌面和移动端可操作；正常、空、加载、失败和禁用状态完整；中英文文案可切换。</x:v>
      </x:c>
      <x:c r="J4" s="13" t="str">
        <x:v>—</x:v>
      </x:c>
      <x:c r="K4" s="13" t="str">
        <x:v>已完成</x:v>
      </x:c>
      <x:c r="L4" s="13" t="str">
        <x:v>08-20</x:v>
      </x:c>
      <x:c r="M4" s="13" t="str">
        <x:v>2026-08-20</x:v>
      </x:c>
      <x:c r="N4" s="13" t="str">
        <x:v>配置版本、Skill版本、模型名、部署版本、provider request ID和环境标识</x:v>
      </x:c>
      <x:c r="O4" s="13" t="str">
        <x:v>部署/服务 health状态；配置启用/停用；队列消息 queued/processing/DLQ</x:v>
      </x:c>
      <x:c r="P4" s="13" t="str">
        <x:v>配置缺失、密钥无效、限流、部署失败、队列积压、定时任务重复执行</x:v>
      </x:c>
      <x:c r="Q4" s="13" t="str">
        <x:v>环境与密钥隔离；最小权限；生产操作留审计；日志脱敏</x:v>
      </x:c>
      <x:c r="R4" s="13" t="str">
        <x:v>部署可回滚；Worker/清理任务可重入；密钥不入库不导出；日志按合规期限保留</x:v>
      </x:c>
    </x:row>
    <x:row r="5" ht="72" customHeight="1">
      <x:c r="A5" s="13" t="str">
        <x:v>第 1 期</x:v>
      </x:c>
      <x:c r="B5" s="13" t="str">
        <x:v>6. 平台、工程与上线</x:v>
      </x:c>
      <x:c r="C5" s="13" t="str">
        <x:v>P1-SH-001</x:v>
      </x:c>
      <x:c r="D5" s="13" t="str">
        <x:v>工程 / 建立 Monorepo</x:v>
      </x:c>
      <x:c r="E5" s="13" t="str">
        <x:v>P1-SH-001-02</x:v>
      </x:c>
      <x:c r="F5" s="13" t="str">
        <x:v>前端（共享任务）</x:v>
      </x:c>
      <x:c r="G5" s="13" t="str">
        <x:v>建立 Monorepo：`apps/web`</x:v>
      </x:c>
      <x:c r="H5" s="13" t="str">
        <x:v>建立 Monorepo：`apps/web`</x:v>
      </x:c>
      <x:c r="I5" s="13" t="str">
        <x:v>桌面和移动端可操作；正常、空、加载、失败和禁用状态完整；中英文文案可切换。</x:v>
      </x:c>
      <x:c r="J5" s="13" t="str">
        <x:v>P1-SH-001-01</x:v>
      </x:c>
      <x:c r="K5" s="13" t="str">
        <x:v>已完成</x:v>
      </x:c>
      <x:c r="L5" s="13" t="str">
        <x:v>08-20</x:v>
      </x:c>
      <x:c r="M5" s="13" t="str">
        <x:v>2026-08-20</x:v>
      </x:c>
      <x:c r="N5" s="13" t="str">
        <x:v>配置版本、Skill版本、模型名、部署版本、provider request ID和环境标识</x:v>
      </x:c>
      <x:c r="O5" s="13" t="str">
        <x:v>部署/服务 health状态；配置启用/停用；队列消息 queued/processing/DLQ</x:v>
      </x:c>
      <x:c r="P5" s="13" t="str">
        <x:v>配置缺失、密钥无效、限流、部署失败、队列积压、定时任务重复执行</x:v>
      </x:c>
      <x:c r="Q5" s="13" t="str">
        <x:v>环境与密钥隔离；最小权限；生产操作留审计；日志脱敏</x:v>
      </x:c>
      <x:c r="R5" s="13" t="str">
        <x:v>部署可回滚；Worker/清理任务可重入；密钥不入库不导出；日志按合规期限保留</x:v>
      </x:c>
    </x:row>
    <x:row r="6" ht="72" customHeight="1">
      <x:c r="A6" s="13" t="str">
        <x:v>第 1 期</x:v>
      </x:c>
      <x:c r="B6" s="13" t="str">
        <x:v>6. 平台、工程与上线</x:v>
      </x:c>
      <x:c r="C6" s="13" t="str">
        <x:v>P1-SH-001</x:v>
      </x:c>
      <x:c r="D6" s="13" t="str">
        <x:v>工程 / 建立 Monorepo</x:v>
      </x:c>
      <x:c r="E6" s="13" t="str">
        <x:v>P1-SH-001-03</x:v>
      </x:c>
      <x:c r="F6" s="13" t="str">
        <x:v>前端（共享任务）</x:v>
      </x:c>
      <x:c r="G6" s="13" t="str">
        <x:v>建立 Monorepo：`packages/*`</x:v>
      </x:c>
      <x:c r="H6" s="13" t="str">
        <x:v>建立 Monorepo：`packages/*`</x:v>
      </x:c>
      <x:c r="I6" s="13" t="str">
        <x:v>桌面和移动端可操作；正常、空、加载、失败和禁用状态完整；中英文文案可切换。</x:v>
      </x:c>
      <x:c r="J6" s="13" t="str">
        <x:v>P1-SH-001-02</x:v>
      </x:c>
      <x:c r="K6" s="13" t="str">
        <x:v>已完成</x:v>
      </x:c>
      <x:c r="L6" s="13" t="str">
        <x:v>08-20</x:v>
      </x:c>
      <x:c r="M6" s="13" t="str">
        <x:v>2026-08-20</x:v>
      </x:c>
      <x:c r="N6" s="13" t="str">
        <x:v>配置版本、Skill版本、模型名、部署版本、provider request ID和环境标识</x:v>
      </x:c>
      <x:c r="O6" s="13" t="str">
        <x:v>部署/服务 health状态；配置启用/停用；队列消息 queued/processing/DLQ</x:v>
      </x:c>
      <x:c r="P6" s="13" t="str">
        <x:v>配置缺失、密钥无效、限流、部署失败、队列积压、定时任务重复执行</x:v>
      </x:c>
      <x:c r="Q6" s="13" t="str">
        <x:v>环境与密钥隔离；最小权限；生产操作留审计；日志脱敏</x:v>
      </x:c>
      <x:c r="R6" s="13" t="str">
        <x:v>部署可回滚；Worker/清理任务可重入；密钥不入库不导出；日志按合规期限保留</x:v>
      </x:c>
    </x:row>
    <x:row r="7" ht="72" customHeight="1">
      <x:c r="A7" s="13" t="str">
        <x:v>第 1 期</x:v>
      </x:c>
      <x:c r="B7" s="13" t="str">
        <x:v>6. 平台、工程与上线</x:v>
      </x:c>
      <x:c r="C7" s="13" t="str">
        <x:v>P1-SH-001</x:v>
      </x:c>
      <x:c r="D7" s="13" t="str">
        <x:v>工程 / 建立 Monorepo</x:v>
      </x:c>
      <x:c r="E7" s="13" t="str">
        <x:v>P1-SH-001-04</x:v>
      </x:c>
      <x:c r="F7" s="13" t="str">
        <x:v>前端（共享任务）</x:v>
      </x:c>
      <x:c r="G7" s="13" t="str">
        <x:v>建立 Monorepo：`services/icon-worker` 边界</x:v>
      </x:c>
      <x:c r="H7" s="13" t="str">
        <x:v>建立 Monorepo：`services/icon-worker` 边界</x:v>
      </x:c>
      <x:c r="I7" s="13" t="str">
        <x:v>桌面和移动端可操作；正常、空、加载、失败和禁用状态完整；中英文文案可切换。</x:v>
      </x:c>
      <x:c r="J7" s="13" t="str">
        <x:v>P1-SH-001-03</x:v>
      </x:c>
      <x:c r="K7" s="13" t="str">
        <x:v>已完成</x:v>
      </x:c>
      <x:c r="L7" s="13" t="str">
        <x:v>08-20</x:v>
      </x:c>
      <x:c r="M7" s="13" t="str">
        <x:v>2026-08-20</x:v>
      </x:c>
      <x:c r="N7" s="13" t="str">
        <x:v>配置版本、Skill版本、模型名、部署版本、provider request ID和环境标识</x:v>
      </x:c>
      <x:c r="O7" s="13" t="str">
        <x:v>部署/服务 health状态；配置启用/停用；队列消息 queued/processing/DLQ</x:v>
      </x:c>
      <x:c r="P7" s="13" t="str">
        <x:v>配置缺失、密钥无效、限流、部署失败、队列积压、定时任务重复执行</x:v>
      </x:c>
      <x:c r="Q7" s="13" t="str">
        <x:v>环境与密钥隔离；最小权限；生产操作留审计；日志脱敏</x:v>
      </x:c>
      <x:c r="R7" s="13" t="str">
        <x:v>部署可回滚；Worker/清理任务可重入；密钥不入库不导出；日志按合规期限保留</x:v>
      </x:c>
    </x:row>
    <x:row r="8" ht="72" customHeight="1">
      <x:c r="A8" s="13" t="str">
        <x:v>第 1 期</x:v>
      </x:c>
      <x:c r="B8" s="13" t="str">
        <x:v>6. 平台、工程与上线</x:v>
      </x:c>
      <x:c r="C8" s="13" t="str">
        <x:v>P1-DOC-001</x:v>
      </x:c>
      <x:c r="D8" s="13" t="str">
        <x:v>需求 / 建立知识库与 PRD</x:v>
      </x:c>
      <x:c r="E8" s="13" t="str">
        <x:v>P1-DOC-001-01</x:v>
      </x:c>
      <x:c r="F8" s="13" t="str">
        <x:v>前端（共享任务）</x:v>
      </x:c>
      <x:c r="G8" s="13" t="str">
        <x:v>建立知识库与 PRD：六模块</x:v>
      </x:c>
      <x:c r="H8" s="13" t="str">
        <x:v>建立知识库与 PRD：六模块</x:v>
      </x:c>
      <x:c r="I8" s="13" t="str">
        <x:v>桌面和移动端可操作；正常、空、加载、失败和禁用状态完整；中英文文案可切换。</x:v>
      </x:c>
      <x:c r="J8" s="13" t="str">
        <x:v>—</x:v>
      </x:c>
      <x:c r="K8" s="13" t="str">
        <x:v>已完成</x:v>
      </x:c>
      <x:c r="L8" s="13" t="str">
        <x:v>08-20</x:v>
      </x:c>
      <x:c r="M8" s="13" t="str">
        <x:v>2026-08-20</x:v>
      </x:c>
      <x:c r="N8" s="13" t="str">
        <x:v>配置版本、Skill版本、模型名、部署版本、provider request ID和环境标识</x:v>
      </x:c>
      <x:c r="O8" s="13" t="str">
        <x:v>部署/服务 health状态；配置启用/停用；队列消息 queued/processing/DLQ</x:v>
      </x:c>
      <x:c r="P8" s="13" t="str">
        <x:v>配置缺失、密钥无效、限流、部署失败、队列积压、定时任务重复执行</x:v>
      </x:c>
      <x:c r="Q8" s="13" t="str">
        <x:v>环境与密钥隔离；最小权限；生产操作留审计；日志脱敏</x:v>
      </x:c>
      <x:c r="R8" s="13" t="str">
        <x:v>部署可回滚；Worker/清理任务可重入；密钥不入库不导出；日志按合规期限保留</x:v>
      </x:c>
    </x:row>
    <x:row r="9" ht="72" customHeight="1">
      <x:c r="A9" s="13" t="str">
        <x:v>第 1 期</x:v>
      </x:c>
      <x:c r="B9" s="13" t="str">
        <x:v>6. 平台、工程与上线</x:v>
      </x:c>
      <x:c r="C9" s="13" t="str">
        <x:v>P1-DOC-001</x:v>
      </x:c>
      <x:c r="D9" s="13" t="str">
        <x:v>需求 / 建立知识库与 PRD</x:v>
      </x:c>
      <x:c r="E9" s="13" t="str">
        <x:v>P1-DOC-001-02</x:v>
      </x:c>
      <x:c r="F9" s="13" t="str">
        <x:v>前端（共享任务）</x:v>
      </x:c>
      <x:c r="G9" s="13" t="str">
        <x:v>建立知识库与 PRD：架构</x:v>
      </x:c>
      <x:c r="H9" s="13" t="str">
        <x:v>建立知识库与 PRD：架构</x:v>
      </x:c>
      <x:c r="I9" s="13" t="str">
        <x:v>桌面和移动端可操作；正常、空、加载、失败和禁用状态完整；中英文文案可切换。</x:v>
      </x:c>
      <x:c r="J9" s="13" t="str">
        <x:v>P1-DOC-001-01</x:v>
      </x:c>
      <x:c r="K9" s="13" t="str">
        <x:v>已完成</x:v>
      </x:c>
      <x:c r="L9" s="13" t="str">
        <x:v>08-20</x:v>
      </x:c>
      <x:c r="M9" s="13" t="str">
        <x:v>2026-08-20</x:v>
      </x:c>
      <x:c r="N9" s="13" t="str">
        <x:v>配置版本、Skill版本、模型名、部署版本、provider request ID和环境标识</x:v>
      </x:c>
      <x:c r="O9" s="13" t="str">
        <x:v>部署/服务 health状态；配置启用/停用；队列消息 queued/processing/DLQ</x:v>
      </x:c>
      <x:c r="P9" s="13" t="str">
        <x:v>配置缺失、密钥无效、限流、部署失败、队列积压、定时任务重复执行</x:v>
      </x:c>
      <x:c r="Q9" s="13" t="str">
        <x:v>环境与密钥隔离；最小权限；生产操作留审计；日志脱敏</x:v>
      </x:c>
      <x:c r="R9" s="13" t="str">
        <x:v>部署可回滚；Worker/清理任务可重入；密钥不入库不导出；日志按合规期限保留</x:v>
      </x:c>
    </x:row>
    <x:row r="10" ht="72" customHeight="1">
      <x:c r="A10" s="13" t="str">
        <x:v>第 1 期</x:v>
      </x:c>
      <x:c r="B10" s="13" t="str">
        <x:v>6. 平台、工程与上线</x:v>
      </x:c>
      <x:c r="C10" s="13" t="str">
        <x:v>P1-DOC-001</x:v>
      </x:c>
      <x:c r="D10" s="13" t="str">
        <x:v>需求 / 建立知识库与 PRD</x:v>
      </x:c>
      <x:c r="E10" s="13" t="str">
        <x:v>P1-DOC-001-03</x:v>
      </x:c>
      <x:c r="F10" s="13" t="str">
        <x:v>前端（共享任务）</x:v>
      </x:c>
      <x:c r="G10" s="13" t="str">
        <x:v>建立知识库与 PRD：决策</x:v>
      </x:c>
      <x:c r="H10" s="13" t="str">
        <x:v>建立知识库与 PRD：决策</x:v>
      </x:c>
      <x:c r="I10" s="13" t="str">
        <x:v>桌面和移动端可操作；正常、空、加载、失败和禁用状态完整；中英文文案可切换。</x:v>
      </x:c>
      <x:c r="J10" s="13" t="str">
        <x:v>P1-DOC-001-02</x:v>
      </x:c>
      <x:c r="K10" s="13" t="str">
        <x:v>已完成</x:v>
      </x:c>
      <x:c r="L10" s="13" t="str">
        <x:v>08-20</x:v>
      </x:c>
      <x:c r="M10" s="13" t="str">
        <x:v>2026-08-20</x:v>
      </x:c>
      <x:c r="N10" s="13" t="str">
        <x:v>配置版本、Skill版本、模型名、部署版本、provider request ID和环境标识</x:v>
      </x:c>
      <x:c r="O10" s="13" t="str">
        <x:v>部署/服务 health状态；配置启用/停用；队列消息 queued/processing/DLQ</x:v>
      </x:c>
      <x:c r="P10" s="13" t="str">
        <x:v>配置缺失、密钥无效、限流、部署失败、队列积压、定时任务重复执行</x:v>
      </x:c>
      <x:c r="Q10" s="13" t="str">
        <x:v>环境与密钥隔离；最小权限；生产操作留审计；日志脱敏</x:v>
      </x:c>
      <x:c r="R10" s="13" t="str">
        <x:v>部署可回滚；Worker/清理任务可重入；密钥不入库不导出；日志按合规期限保留</x:v>
      </x:c>
    </x:row>
    <x:row r="11" ht="72" customHeight="1">
      <x:c r="A11" s="13" t="str">
        <x:v>第 1 期</x:v>
      </x:c>
      <x:c r="B11" s="13" t="str">
        <x:v>6. 平台、工程与上线</x:v>
      </x:c>
      <x:c r="C11" s="13" t="str">
        <x:v>P1-DOC-001</x:v>
      </x:c>
      <x:c r="D11" s="13" t="str">
        <x:v>需求 / 建立知识库与 PRD</x:v>
      </x:c>
      <x:c r="E11" s="13" t="str">
        <x:v>P1-DOC-001-04</x:v>
      </x:c>
      <x:c r="F11" s="13" t="str">
        <x:v>前端（共享任务）</x:v>
      </x:c>
      <x:c r="G11" s="13" t="str">
        <x:v>建立知识库与 PRD：接口和待确认事项入口</x:v>
      </x:c>
      <x:c r="H11" s="13" t="str">
        <x:v>建立知识库与 PRD：接口和待确认事项入口</x:v>
      </x:c>
      <x:c r="I11" s="13" t="str">
        <x:v>请求、成功响应和稳定错误码均有测试；鉴权与越权场景通过；接口文档可供联调。</x:v>
      </x:c>
      <x:c r="J11" s="13" t="str">
        <x:v>P1-DOC-001-03</x:v>
      </x:c>
      <x:c r="K11" s="13" t="str">
        <x:v>已完成</x:v>
      </x:c>
      <x:c r="L11" s="13" t="str">
        <x:v>08-20</x:v>
      </x:c>
      <x:c r="M11" s="13" t="str">
        <x:v>2026-08-20</x:v>
      </x:c>
      <x:c r="N11" s="13" t="str">
        <x:v>配置版本、Skill版本、模型名、部署版本、provider request ID和环境标识</x:v>
      </x:c>
      <x:c r="O11" s="13" t="str">
        <x:v>部署/服务 health状态；配置启用/停用；队列消息 queued/processing/DLQ</x:v>
      </x:c>
      <x:c r="P11" s="13" t="str">
        <x:v>配置缺失、密钥无效、限流、部署失败、队列积压、定时任务重复执行</x:v>
      </x:c>
      <x:c r="Q11" s="13" t="str">
        <x:v>环境与密钥隔离；最小权限；生产操作留审计；日志脱敏</x:v>
      </x:c>
      <x:c r="R11" s="13" t="str">
        <x:v>部署可回滚；Worker/清理任务可重入；密钥不入库不导出；日志按合规期限保留</x:v>
      </x:c>
    </x:row>
    <x:row r="12" ht="72" customHeight="1">
      <x:c r="A12" s="13" t="str">
        <x:v>第 1 期</x:v>
      </x:c>
      <x:c r="B12" s="13" t="str">
        <x:v>3. 作品、预览与下载</x:v>
      </x:c>
      <x:c r="C12" s="13" t="str">
        <x:v>P1-DOC-002</x:v>
      </x:c>
      <x:c r="D12" s="13" t="str">
        <x:v>范围 / 冻结 MVP 基线</x:v>
      </x:c>
      <x:c r="E12" s="13" t="str">
        <x:v>P1-DOC-002-01</x:v>
      </x:c>
      <x:c r="F12" s="13" t="str">
        <x:v>前端（共享任务）</x:v>
      </x:c>
      <x:c r="G12" s="13" t="str">
        <x:v>冻结 MVP 基线：UI 图标</x:v>
      </x:c>
      <x:c r="H12" s="13" t="str">
        <x:v>冻结 MVP 基线：UI 图标</x:v>
      </x:c>
      <x:c r="I12" s="13" t="str">
        <x:v>桌面和移动端可操作；正常、空、加载、失败和禁用状态完整；中英文文案可切换。</x:v>
      </x:c>
      <x:c r="J12" s="13" t="str">
        <x:v>—</x:v>
      </x:c>
      <x:c r="K12" s="13" t="str">
        <x:v>已完成</x:v>
      </x:c>
      <x:c r="L12" s="13" t="str">
        <x:v>08-20</x:v>
      </x:c>
      <x:c r="M12" s="13" t="str">
        <x:v>2026-08-20</x:v>
      </x:c>
      <x:c r="N12" s="13" t="str">
        <x:v>job/variant/asset UUID；下载归档 archive_id(UUID)；归档键由用户+选择集+尺寸形成</x:v>
      </x:c>
      <x:c r="O12" s="13" t="str">
        <x:v>asset: available/expired；archive: queued/processing/ready/failed/expired</x:v>
      </x:c>
      <x:c r="P12" s="13" t="str">
        <x:v>未选择、资源未就绪、尺寸不存在、签名URL过期、资产已清理、归档部分失败</x:v>
      </x:c>
      <x:c r="Q12" s="13" t="str">
        <x:v>单图和ZIP均校验本人所有权；私有Bucket；短时签名URL</x:v>
      </x:c>
      <x:c r="R12" s="13" t="str">
        <x:v>相同选择集24小时内复用归档；作品30天、归档24小时；有效PNG进入删除账户导出</x:v>
      </x:c>
    </x:row>
    <x:row r="13" ht="72" customHeight="1">
      <x:c r="A13" s="13" t="str">
        <x:v>第 1 期</x:v>
      </x:c>
      <x:c r="B13" s="13" t="str">
        <x:v>3. 作品、预览与下载</x:v>
      </x:c>
      <x:c r="C13" s="13" t="str">
        <x:v>P1-DOC-002</x:v>
      </x:c>
      <x:c r="D13" s="13" t="str">
        <x:v>范围 / 冻结 MVP 基线</x:v>
      </x:c>
      <x:c r="E13" s="13" t="str">
        <x:v>P1-DOC-002-02</x:v>
      </x:c>
      <x:c r="F13" s="13" t="str">
        <x:v>前端（共享任务）</x:v>
      </x:c>
      <x:c r="G13" s="13" t="str">
        <x:v>冻结 MVP 基线：多主体×3</x:v>
      </x:c>
      <x:c r="H13" s="13" t="str">
        <x:v>冻结 MVP 基线：多主体×3</x:v>
      </x:c>
      <x:c r="I13" s="13" t="str">
        <x:v>桌面和移动端可操作；正常、空、加载、失败和禁用状态完整；中英文文案可切换。</x:v>
      </x:c>
      <x:c r="J13" s="13" t="str">
        <x:v>P1-DOC-002-01</x:v>
      </x:c>
      <x:c r="K13" s="13" t="str">
        <x:v>已完成</x:v>
      </x:c>
      <x:c r="L13" s="13" t="str">
        <x:v>08-20</x:v>
      </x:c>
      <x:c r="M13" s="13" t="str">
        <x:v>2026-08-20</x:v>
      </x:c>
      <x:c r="N13" s="13" t="str">
        <x:v>job/variant/asset UUID；下载归档 archive_id(UUID)；归档键由用户+选择集+尺寸形成</x:v>
      </x:c>
      <x:c r="O13" s="13" t="str">
        <x:v>asset: available/expired；archive: queued/processing/ready/failed/expired</x:v>
      </x:c>
      <x:c r="P13" s="13" t="str">
        <x:v>未选择、资源未就绪、尺寸不存在、签名URL过期、资产已清理、归档部分失败</x:v>
      </x:c>
      <x:c r="Q13" s="13" t="str">
        <x:v>单图和ZIP均校验本人所有权；私有Bucket；短时签名URL</x:v>
      </x:c>
      <x:c r="R13" s="13" t="str">
        <x:v>相同选择集24小时内复用归档；作品30天、归档24小时；有效PNG进入删除账户导出</x:v>
      </x:c>
    </x:row>
    <x:row r="14" ht="72" customHeight="1">
      <x:c r="A14" s="13" t="str">
        <x:v>第 1 期</x:v>
      </x:c>
      <x:c r="B14" s="13" t="str">
        <x:v>3. 作品、预览与下载</x:v>
      </x:c>
      <x:c r="C14" s="13" t="str">
        <x:v>P1-DOC-002</x:v>
      </x:c>
      <x:c r="D14" s="13" t="str">
        <x:v>范围 / 冻结 MVP 基线</x:v>
      </x:c>
      <x:c r="E14" s="13" t="str">
        <x:v>P1-DOC-002-03</x:v>
      </x:c>
      <x:c r="F14" s="13" t="str">
        <x:v>前端（共享任务）</x:v>
      </x:c>
      <x:c r="G14" s="13" t="str">
        <x:v>冻结 MVP 基线：25 项</x:v>
      </x:c>
      <x:c r="H14" s="13" t="str">
        <x:v>冻结 MVP 基线：25 项</x:v>
      </x:c>
      <x:c r="I14" s="13" t="str">
        <x:v>桌面和移动端可操作；正常、空、加载、失败和禁用状态完整；中英文文案可切换。</x:v>
      </x:c>
      <x:c r="J14" s="13" t="str">
        <x:v>P1-DOC-002-02</x:v>
      </x:c>
      <x:c r="K14" s="13" t="str">
        <x:v>已完成</x:v>
      </x:c>
      <x:c r="L14" s="13" t="str">
        <x:v>08-20</x:v>
      </x:c>
      <x:c r="M14" s="13" t="str">
        <x:v>2026-08-20</x:v>
      </x:c>
      <x:c r="N14" s="13" t="str">
        <x:v>job/variant/asset UUID；下载归档 archive_id(UUID)；归档键由用户+选择集+尺寸形成</x:v>
      </x:c>
      <x:c r="O14" s="13" t="str">
        <x:v>asset: available/expired；archive: queued/processing/ready/failed/expired</x:v>
      </x:c>
      <x:c r="P14" s="13" t="str">
        <x:v>未选择、资源未就绪、尺寸不存在、签名URL过期、资产已清理、归档部分失败</x:v>
      </x:c>
      <x:c r="Q14" s="13" t="str">
        <x:v>单图和ZIP均校验本人所有权；私有Bucket；短时签名URL</x:v>
      </x:c>
      <x:c r="R14" s="13" t="str">
        <x:v>相同选择集24小时内复用归档；作品30天、归档24小时；有效PNG进入删除账户导出</x:v>
      </x:c>
    </x:row>
    <x:row r="15" ht="72" customHeight="1">
      <x:c r="A15" s="13" t="str">
        <x:v>第 1 期</x:v>
      </x:c>
      <x:c r="B15" s="13" t="str">
        <x:v>3. 作品、预览与下载</x:v>
      </x:c>
      <x:c r="C15" s="13" t="str">
        <x:v>P1-DOC-002</x:v>
      </x:c>
      <x:c r="D15" s="13" t="str">
        <x:v>范围 / 冻结 MVP 基线</x:v>
      </x:c>
      <x:c r="E15" s="13" t="str">
        <x:v>P1-DOC-002-04</x:v>
      </x:c>
      <x:c r="F15" s="13" t="str">
        <x:v>前端（共享任务）</x:v>
      </x:c>
      <x:c r="G15" s="13" t="str">
        <x:v>冻结 MVP 基线：点数</x:v>
      </x:c>
      <x:c r="H15" s="13" t="str">
        <x:v>冻结 MVP 基线：点数</x:v>
      </x:c>
      <x:c r="I15" s="13" t="str">
        <x:v>桌面和移动端可操作；正常、空、加载、失败和禁用状态完整；中英文文案可切换。</x:v>
      </x:c>
      <x:c r="J15" s="13" t="str">
        <x:v>P1-DOC-002-03</x:v>
      </x:c>
      <x:c r="K15" s="13" t="str">
        <x:v>已完成</x:v>
      </x:c>
      <x:c r="L15" s="13" t="str">
        <x:v>08-20</x:v>
      </x:c>
      <x:c r="M15" s="13" t="str">
        <x:v>2026-08-20</x:v>
      </x:c>
      <x:c r="N15" s="13" t="str">
        <x:v>job/variant/asset UUID；下载归档 archive_id(UUID)；归档键由用户+选择集+尺寸形成</x:v>
      </x:c>
      <x:c r="O15" s="13" t="str">
        <x:v>asset: available/expired；archive: queued/processing/ready/failed/expired</x:v>
      </x:c>
      <x:c r="P15" s="13" t="str">
        <x:v>未选择、资源未就绪、尺寸不存在、签名URL过期、资产已清理、归档部分失败</x:v>
      </x:c>
      <x:c r="Q15" s="13" t="str">
        <x:v>单图和ZIP均校验本人所有权；私有Bucket；短时签名URL</x:v>
      </x:c>
      <x:c r="R15" s="13" t="str">
        <x:v>相同选择集24小时内复用归档；作品30天、归档24小时；有效PNG进入删除账户导出</x:v>
      </x:c>
    </x:row>
    <x:row r="16" ht="72" customHeight="1">
      <x:c r="A16" s="13" t="str">
        <x:v>第 1 期</x:v>
      </x:c>
      <x:c r="B16" s="13" t="str">
        <x:v>3. 作品、预览与下载</x:v>
      </x:c>
      <x:c r="C16" s="13" t="str">
        <x:v>P1-DOC-002</x:v>
      </x:c>
      <x:c r="D16" s="13" t="str">
        <x:v>范围 / 冻结 MVP 基线</x:v>
      </x:c>
      <x:c r="E16" s="13" t="str">
        <x:v>P1-DOC-002-05</x:v>
      </x:c>
      <x:c r="F16" s="13" t="str">
        <x:v>前端（共享任务）</x:v>
      </x:c>
      <x:c r="G16" s="13" t="str">
        <x:v>冻结 MVP 基线：下载</x:v>
      </x:c>
      <x:c r="H16" s="13" t="str">
        <x:v>冻结 MVP 基线：下载</x:v>
      </x:c>
      <x:c r="I16" s="13" t="str">
        <x:v>桌面和移动端可操作；正常、空、加载、失败和禁用状态完整；中英文文案可切换。</x:v>
      </x:c>
      <x:c r="J16" s="13" t="str">
        <x:v>P1-DOC-002-04</x:v>
      </x:c>
      <x:c r="K16" s="13" t="str">
        <x:v>已完成</x:v>
      </x:c>
      <x:c r="L16" s="13" t="str">
        <x:v>08-20</x:v>
      </x:c>
      <x:c r="M16" s="13" t="str">
        <x:v>2026-08-20</x:v>
      </x:c>
      <x:c r="N16" s="13" t="str">
        <x:v>job/variant/asset UUID；下载归档 archive_id(UUID)；归档键由用户+选择集+尺寸形成</x:v>
      </x:c>
      <x:c r="O16" s="13" t="str">
        <x:v>asset: available/expired；archive: queued/processing/ready/failed/expired</x:v>
      </x:c>
      <x:c r="P16" s="13" t="str">
        <x:v>未选择、资源未就绪、尺寸不存在、签名URL过期、资产已清理、归档部分失败</x:v>
      </x:c>
      <x:c r="Q16" s="13" t="str">
        <x:v>单图和ZIP均校验本人所有权；私有Bucket；短时签名URL</x:v>
      </x:c>
      <x:c r="R16" s="13" t="str">
        <x:v>相同选择集24小时内复用归档；作品30天、归档24小时；有效PNG进入删除账户导出</x:v>
      </x:c>
    </x:row>
    <x:row r="17" ht="72" customHeight="1">
      <x:c r="A17" s="13" t="str">
        <x:v>第 1 期</x:v>
      </x:c>
      <x:c r="B17" s="13" t="str">
        <x:v>3. 作品、预览与下载</x:v>
      </x:c>
      <x:c r="C17" s="13" t="str">
        <x:v>P1-DOC-002</x:v>
      </x:c>
      <x:c r="D17" s="13" t="str">
        <x:v>范围 / 冻结 MVP 基线</x:v>
      </x:c>
      <x:c r="E17" s="13" t="str">
        <x:v>P1-DOC-002-06</x:v>
      </x:c>
      <x:c r="F17" s="13" t="str">
        <x:v>前端（共享任务）</x:v>
      </x:c>
      <x:c r="G17" s="13" t="str">
        <x:v>冻结 MVP 基线：保留与最小运营范围</x:v>
      </x:c>
      <x:c r="H17" s="13" t="str">
        <x:v>冻结 MVP 基线：保留与最小运营范围</x:v>
      </x:c>
      <x:c r="I17" s="13" t="str">
        <x:v>桌面和移动端可操作；正常、空、加载、失败和禁用状态完整；中英文文案可切换。</x:v>
      </x:c>
      <x:c r="J17" s="13" t="str">
        <x:v>P1-DOC-002-05</x:v>
      </x:c>
      <x:c r="K17" s="13" t="str">
        <x:v>已完成</x:v>
      </x:c>
      <x:c r="L17" s="13" t="str">
        <x:v>08-20</x:v>
      </x:c>
      <x:c r="M17" s="13" t="str">
        <x:v>2026-08-20</x:v>
      </x:c>
      <x:c r="N17" s="13" t="str">
        <x:v>job/variant/asset UUID；下载归档 archive_id(UUID)；归档键由用户+选择集+尺寸形成</x:v>
      </x:c>
      <x:c r="O17" s="13" t="str">
        <x:v>asset: available/expired；archive: queued/processing/ready/failed/expired</x:v>
      </x:c>
      <x:c r="P17" s="13" t="str">
        <x:v>未选择、资源未就绪、尺寸不存在、签名URL过期、资产已清理、归档部分失败</x:v>
      </x:c>
      <x:c r="Q17" s="13" t="str">
        <x:v>单图和ZIP均校验本人所有权；私有Bucket；短时签名URL</x:v>
      </x:c>
      <x:c r="R17" s="13" t="str">
        <x:v>相同选择集24小时内复用归档；作品30天、归档24小时；有效PNG进入删除账户导出</x:v>
      </x:c>
    </x:row>
    <x:row r="18" ht="72" customHeight="1">
      <x:c r="A18" s="13" t="str">
        <x:v>第 1 期</x:v>
      </x:c>
      <x:c r="B18" s="13" t="str">
        <x:v>2. 图标设计与生成</x:v>
      </x:c>
      <x:c r="C18" s="13" t="str">
        <x:v>P1-SH-002</x:v>
      </x:c>
      <x:c r="D18" s="13" t="str">
        <x:v>生成契约 / 建立 v2 Schema</x:v>
      </x:c>
      <x:c r="E18" s="13" t="str">
        <x:v>P1-SH-002-01</x:v>
      </x:c>
      <x:c r="F18" s="13" t="str">
        <x:v>前端（共享任务）</x:v>
      </x:c>
      <x:c r="G18" s="13" t="str">
        <x:v>建立 v2 Schema：subjects</x:v>
      </x:c>
      <x:c r="H18" s="13" t="str">
        <x:v>建立 v2 Schema：subjects</x:v>
      </x:c>
      <x:c r="I18" s="13" t="str">
        <x:v>桌面和移动端可操作；正常、空、加载、失败和禁用状态完整；中英文文案可切换。</x:v>
      </x:c>
      <x:c r="J18" s="13" t="str">
        <x:v>—</x:v>
      </x:c>
      <x:c r="K18" s="13" t="str">
        <x:v>已完成</x:v>
      </x:c>
      <x:c r="L18" s="13" t="str">
        <x:v>08-20</x:v>
      </x:c>
      <x:c r="M18" s="13" t="str">
        <x:v>2026-08-20</x:v>
      </x:c>
      <x:c r="N18" s="13" t="str">
        <x:v>job_id、subject_id、variant_id、asset_id 均为UUID；创建请求另带 idempotency_key；记录 settings/skill/model 版本</x:v>
      </x:c>
      <x:c r="O18" s="13" t="str">
        <x:v>job: queued/processing/completed/partial/failed；variant: queued/processing/completed/failed</x:v>
      </x:c>
      <x:c r="P18" s="13" t="str">
        <x:v>1–20主体、每主体3方案、余额不足、内容拦截、模型超时、部分成功、刷新恢复</x:v>
      </x:c>
      <x:c r="Q18" s="13" t="str">
        <x:v>仅本人查看任务与结果；Worker 使用服务端权限；平台API Key不下发前端</x:v>
      </x:c>
      <x:c r="R18" s="13" t="str">
        <x:v>创建+扣点同事务；每用户1个活动任务；队列重投跳过已完成variant；图片保留30天</x:v>
      </x:c>
    </x:row>
    <x:row r="19" ht="72" customHeight="1">
      <x:c r="A19" s="13" t="str">
        <x:v>第 1 期</x:v>
      </x:c>
      <x:c r="B19" s="13" t="str">
        <x:v>2. 图标设计与生成</x:v>
      </x:c>
      <x:c r="C19" s="13" t="str">
        <x:v>P1-SH-002</x:v>
      </x:c>
      <x:c r="D19" s="13" t="str">
        <x:v>生成契约 / 建立 v2 Schema</x:v>
      </x:c>
      <x:c r="E19" s="13" t="str">
        <x:v>P1-SH-002-02</x:v>
      </x:c>
      <x:c r="F19" s="13" t="str">
        <x:v>前端（共享任务）</x:v>
      </x:c>
      <x:c r="G19" s="13" t="str">
        <x:v>建立 v2 Schema：颜色/背景</x:v>
      </x:c>
      <x:c r="H19" s="13" t="str">
        <x:v>建立 v2 Schema：颜色/背景</x:v>
      </x:c>
      <x:c r="I19" s="13" t="str">
        <x:v>桌面和移动端可操作；正常、空、加载、失败和禁用状态完整；中英文文案可切换。</x:v>
      </x:c>
      <x:c r="J19" s="13" t="str">
        <x:v>P1-SH-002-01</x:v>
      </x:c>
      <x:c r="K19" s="13" t="str">
        <x:v>已完成</x:v>
      </x:c>
      <x:c r="L19" s="13" t="str">
        <x:v>08-20</x:v>
      </x:c>
      <x:c r="M19" s="13" t="str">
        <x:v>2026-08-20</x:v>
      </x:c>
      <x:c r="N19" s="13" t="str">
        <x:v>job_id、subject_id、variant_id、asset_id 均为UUID；创建请求另带 idempotency_key；记录 settings/skill/model 版本</x:v>
      </x:c>
      <x:c r="O19" s="13" t="str">
        <x:v>job: queued/processing/completed/partial/failed；variant: queued/processing/completed/failed</x:v>
      </x:c>
      <x:c r="P19" s="13" t="str">
        <x:v>1–20主体、每主体3方案、余额不足、内容拦截、模型超时、部分成功、刷新恢复</x:v>
      </x:c>
      <x:c r="Q19" s="13" t="str">
        <x:v>仅本人查看任务与结果；Worker 使用服务端权限；平台API Key不下发前端</x:v>
      </x:c>
      <x:c r="R19" s="13" t="str">
        <x:v>创建+扣点同事务；每用户1个活动任务；队列重投跳过已完成variant；图片保留30天</x:v>
      </x:c>
    </x:row>
    <x:row r="20" ht="72" customHeight="1">
      <x:c r="A20" s="13" t="str">
        <x:v>第 1 期</x:v>
      </x:c>
      <x:c r="B20" s="13" t="str">
        <x:v>2. 图标设计与生成</x:v>
      </x:c>
      <x:c r="C20" s="13" t="str">
        <x:v>P1-SH-002</x:v>
      </x:c>
      <x:c r="D20" s="13" t="str">
        <x:v>生成契约 / 建立 v2 Schema</x:v>
      </x:c>
      <x:c r="E20" s="13" t="str">
        <x:v>P1-SH-002-03</x:v>
      </x:c>
      <x:c r="F20" s="13" t="str">
        <x:v>前端（共享任务）</x:v>
      </x:c>
      <x:c r="G20" s="13" t="str">
        <x:v>建立 v2 Schema：coreSettings</x:v>
      </x:c>
      <x:c r="H20" s="13" t="str">
        <x:v>建立 v2 Schema：coreSettings</x:v>
      </x:c>
      <x:c r="I20" s="13" t="str">
        <x:v>桌面和移动端可操作；正常、空、加载、失败和禁用状态完整；中英文文案可切换。</x:v>
      </x:c>
      <x:c r="J20" s="13" t="str">
        <x:v>P1-SH-002-02</x:v>
      </x:c>
      <x:c r="K20" s="13" t="str">
        <x:v>已完成</x:v>
      </x:c>
      <x:c r="L20" s="13" t="str">
        <x:v>08-20</x:v>
      </x:c>
      <x:c r="M20" s="13" t="str">
        <x:v>2026-08-20</x:v>
      </x:c>
      <x:c r="N20" s="13" t="str">
        <x:v>job_id、subject_id、variant_id、asset_id 均为UUID；创建请求另带 idempotency_key；记录 settings/skill/model 版本</x:v>
      </x:c>
      <x:c r="O20" s="13" t="str">
        <x:v>job: queued/processing/completed/partial/failed；variant: queued/processing/completed/failed</x:v>
      </x:c>
      <x:c r="P20" s="13" t="str">
        <x:v>1–20主体、每主体3方案、余额不足、内容拦截、模型超时、部分成功、刷新恢复</x:v>
      </x:c>
      <x:c r="Q20" s="13" t="str">
        <x:v>仅本人查看任务与结果；Worker 使用服务端权限；平台API Key不下发前端</x:v>
      </x:c>
      <x:c r="R20" s="13" t="str">
        <x:v>创建+扣点同事务；每用户1个活动任务；队列重投跳过已完成variant；图片保留30天</x:v>
      </x:c>
    </x:row>
    <x:row r="21" ht="72" customHeight="1">
      <x:c r="A21" s="13" t="str">
        <x:v>第 1 期</x:v>
      </x:c>
      <x:c r="B21" s="13" t="str">
        <x:v>2. 图标设计与生成</x:v>
      </x:c>
      <x:c r="C21" s="13" t="str">
        <x:v>P1-SH-002</x:v>
      </x:c>
      <x:c r="D21" s="13" t="str">
        <x:v>生成契约 / 建立 v2 Schema</x:v>
      </x:c>
      <x:c r="E21" s="13" t="str">
        <x:v>P1-SH-002-04</x:v>
      </x:c>
      <x:c r="F21" s="13" t="str">
        <x:v>前端（共享任务）</x:v>
      </x:c>
      <x:c r="G21" s="13" t="str">
        <x:v>建立 v2 Schema：尺寸</x:v>
      </x:c>
      <x:c r="H21" s="13" t="str">
        <x:v>建立 v2 Schema：尺寸</x:v>
      </x:c>
      <x:c r="I21" s="13" t="str">
        <x:v>桌面和移动端可操作；正常、空、加载、失败和禁用状态完整；中英文文案可切换。</x:v>
      </x:c>
      <x:c r="J21" s="13" t="str">
        <x:v>P1-SH-002-03</x:v>
      </x:c>
      <x:c r="K21" s="13" t="str">
        <x:v>已完成</x:v>
      </x:c>
      <x:c r="L21" s="13" t="str">
        <x:v>08-20</x:v>
      </x:c>
      <x:c r="M21" s="13" t="str">
        <x:v>2026-08-20</x:v>
      </x:c>
      <x:c r="N21" s="13" t="str">
        <x:v>job_id、subject_id、variant_id、asset_id 均为UUID；创建请求另带 idempotency_key；记录 settings/skill/model 版本</x:v>
      </x:c>
      <x:c r="O21" s="13" t="str">
        <x:v>job: queued/processing/completed/partial/failed；variant: queued/processing/completed/failed</x:v>
      </x:c>
      <x:c r="P21" s="13" t="str">
        <x:v>1–20主体、每主体3方案、余额不足、内容拦截、模型超时、部分成功、刷新恢复</x:v>
      </x:c>
      <x:c r="Q21" s="13" t="str">
        <x:v>仅本人查看任务与结果；Worker 使用服务端权限；平台API Key不下发前端</x:v>
      </x:c>
      <x:c r="R21" s="13" t="str">
        <x:v>创建+扣点同事务；每用户1个活动任务；队列重投跳过已完成variant；图片保留30天</x:v>
      </x:c>
    </x:row>
    <x:row r="22" ht="72" customHeight="1">
      <x:c r="A22" s="13" t="str">
        <x:v>第 1 期</x:v>
      </x:c>
      <x:c r="B22" s="13" t="str">
        <x:v>2. 图标设计与生成</x:v>
      </x:c>
      <x:c r="C22" s="13" t="str">
        <x:v>P1-SH-002</x:v>
      </x:c>
      <x:c r="D22" s="13" t="str">
        <x:v>生成契约 / 建立 v2 Schema</x:v>
      </x:c>
      <x:c r="E22" s="13" t="str">
        <x:v>P1-SH-002-05</x:v>
      </x:c>
      <x:c r="F22" s="13" t="str">
        <x:v>前端（共享任务）</x:v>
      </x:c>
      <x:c r="G22" s="13" t="str">
        <x:v>建立 v2 Schema：任务/进度/variant/asset 响应</x:v>
      </x:c>
      <x:c r="H22" s="13" t="str">
        <x:v>建立 v2 Schema：任务/进度/variant/asset 响应</x:v>
      </x:c>
      <x:c r="I22" s="13" t="str">
        <x:v>桌面和移动端可操作；正常、空、加载、失败和禁用状态完整；中英文文案可切换。</x:v>
      </x:c>
      <x:c r="J22" s="13" t="str">
        <x:v>P1-SH-002-04</x:v>
      </x:c>
      <x:c r="K22" s="13" t="str">
        <x:v>已完成</x:v>
      </x:c>
      <x:c r="L22" s="13" t="str">
        <x:v>08-20</x:v>
      </x:c>
      <x:c r="M22" s="13" t="str">
        <x:v>2026-08-20</x:v>
      </x:c>
      <x:c r="N22" s="13" t="str">
        <x:v>job_id、subject_id、variant_id、asset_id 均为UUID；创建请求另带 idempotency_key；记录 settings/skill/model 版本</x:v>
      </x:c>
      <x:c r="O22" s="13" t="str">
        <x:v>job: queued/processing/completed/partial/failed；variant: queued/processing/completed/failed</x:v>
      </x:c>
      <x:c r="P22" s="13" t="str">
        <x:v>1–20主体、每主体3方案、余额不足、内容拦截、模型超时、部分成功、刷新恢复</x:v>
      </x:c>
      <x:c r="Q22" s="13" t="str">
        <x:v>仅本人查看任务与结果；Worker 使用服务端权限；平台API Key不下发前端</x:v>
      </x:c>
      <x:c r="R22" s="13" t="str">
        <x:v>创建+扣点同事务；每用户1个活动任务；队列重投跳过已完成variant；图片保留30天</x:v>
      </x:c>
    </x:row>
    <x:row r="23" ht="72" customHeight="1">
      <x:c r="A23" s="13" t="str">
        <x:v>第 1 期</x:v>
      </x:c>
      <x:c r="B23" s="13" t="str">
        <x:v>6. 平台、工程与上线</x:v>
      </x:c>
      <x:c r="C23" s="13" t="str">
        <x:v>P1-SH-003</x:v>
      </x:c>
      <x:c r="D23" s="13" t="str">
        <x:v>核心设置 / 建立 6 组 25 项共享配置</x:v>
      </x:c>
      <x:c r="E23" s="13" t="str">
        <x:v>P1-SH-003-01</x:v>
      </x:c>
      <x:c r="F23" s="13" t="str">
        <x:v>前端（共享任务）</x:v>
      </x:c>
      <x:c r="G23" s="13" t="str">
        <x:v>建立 6 组 25 项共享配置：中英文标签</x:v>
      </x:c>
      <x:c r="H23" s="13" t="str">
        <x:v>建立 6 组 25 项共享配置：中英文标签</x:v>
      </x:c>
      <x:c r="I23" s="13" t="str">
        <x:v>桌面和移动端可操作；正常、空、加载、失败和禁用状态完整；中英文文案可切换。</x:v>
      </x:c>
      <x:c r="J23" s="13" t="str">
        <x:v>—</x:v>
      </x:c>
      <x:c r="K23" s="13" t="str">
        <x:v>已完成</x:v>
      </x:c>
      <x:c r="L23" s="13" t="str">
        <x:v>08-20</x:v>
      </x:c>
      <x:c r="M23" s="13" t="str">
        <x:v>2026-08-20</x:v>
      </x:c>
      <x:c r="N23" s="13" t="str">
        <x:v>配置版本、Skill版本、模型名、部署版本、provider request ID和环境标识</x:v>
      </x:c>
      <x:c r="O23" s="13" t="str">
        <x:v>部署/服务 health状态；配置启用/停用；队列消息 queued/processing/DLQ</x:v>
      </x:c>
      <x:c r="P23" s="13" t="str">
        <x:v>配置缺失、密钥无效、限流、部署失败、队列积压、定时任务重复执行</x:v>
      </x:c>
      <x:c r="Q23" s="13" t="str">
        <x:v>环境与密钥隔离；最小权限；生产操作留审计；日志脱敏</x:v>
      </x:c>
      <x:c r="R23" s="13" t="str">
        <x:v>部署可回滚；Worker/清理任务可重入；密钥不入库不导出；日志按合规期限保留</x:v>
      </x:c>
    </x:row>
    <x:row r="24" ht="72" customHeight="1">
      <x:c r="A24" s="13" t="str">
        <x:v>第 1 期</x:v>
      </x:c>
      <x:c r="B24" s="13" t="str">
        <x:v>6. 平台、工程与上线</x:v>
      </x:c>
      <x:c r="C24" s="13" t="str">
        <x:v>P1-SH-003</x:v>
      </x:c>
      <x:c r="D24" s="13" t="str">
        <x:v>核心设置 / 建立 6 组 25 项共享配置</x:v>
      </x:c>
      <x:c r="E24" s="13" t="str">
        <x:v>P1-SH-003-02</x:v>
      </x:c>
      <x:c r="F24" s="13" t="str">
        <x:v>前端（共享任务）</x:v>
      </x:c>
      <x:c r="G24" s="13" t="str">
        <x:v>建立 6 组 25 项共享配置：稳定 ID</x:v>
      </x:c>
      <x:c r="H24" s="13" t="str">
        <x:v>建立 6 组 25 项共享配置：稳定 ID</x:v>
      </x:c>
      <x:c r="I24" s="13" t="str">
        <x:v>桌面和移动端可操作；正常、空、加载、失败和禁用状态完整；中英文文案可切换。</x:v>
      </x:c>
      <x:c r="J24" s="13" t="str">
        <x:v>P1-SH-003-01</x:v>
      </x:c>
      <x:c r="K24" s="13" t="str">
        <x:v>已完成</x:v>
      </x:c>
      <x:c r="L24" s="13" t="str">
        <x:v>08-20</x:v>
      </x:c>
      <x:c r="M24" s="13" t="str">
        <x:v>2026-08-20</x:v>
      </x:c>
      <x:c r="N24" s="13" t="str">
        <x:v>配置版本、Skill版本、模型名、部署版本、provider request ID和环境标识</x:v>
      </x:c>
      <x:c r="O24" s="13" t="str">
        <x:v>部署/服务 health状态；配置启用/停用；队列消息 queued/processing/DLQ</x:v>
      </x:c>
      <x:c r="P24" s="13" t="str">
        <x:v>配置缺失、密钥无效、限流、部署失败、队列积压、定时任务重复执行</x:v>
      </x:c>
      <x:c r="Q24" s="13" t="str">
        <x:v>环境与密钥隔离；最小权限；生产操作留审计；日志脱敏</x:v>
      </x:c>
      <x:c r="R24" s="13" t="str">
        <x:v>部署可回滚；Worker/清理任务可重入；密钥不入库不导出；日志按合规期限保留</x:v>
      </x:c>
    </x:row>
    <x:row r="25" ht="72" customHeight="1">
      <x:c r="A25" s="13" t="str">
        <x:v>第 1 期</x:v>
      </x:c>
      <x:c r="B25" s="13" t="str">
        <x:v>6. 平台、工程与上线</x:v>
      </x:c>
      <x:c r="C25" s="13" t="str">
        <x:v>P1-SH-003</x:v>
      </x:c>
      <x:c r="D25" s="13" t="str">
        <x:v>核心设置 / 建立 6 组 25 项共享配置</x:v>
      </x:c>
      <x:c r="E25" s="13" t="str">
        <x:v>P1-SH-003-03</x:v>
      </x:c>
      <x:c r="F25" s="13" t="str">
        <x:v>前端（共享任务）</x:v>
      </x:c>
      <x:c r="G25" s="13" t="str">
        <x:v>建立 6 组 25 项共享配置：prompt token</x:v>
      </x:c>
      <x:c r="H25" s="13" t="str">
        <x:v>建立 6 组 25 项共享配置：prompt token</x:v>
      </x:c>
      <x:c r="I25" s="13" t="str">
        <x:v>桌面和移动端可操作；正常、空、加载、失败和禁用状态完整；中英文文案可切换。</x:v>
      </x:c>
      <x:c r="J25" s="13" t="str">
        <x:v>P1-SH-003-02</x:v>
      </x:c>
      <x:c r="K25" s="13" t="str">
        <x:v>已完成</x:v>
      </x:c>
      <x:c r="L25" s="13" t="str">
        <x:v>08-20</x:v>
      </x:c>
      <x:c r="M25" s="13" t="str">
        <x:v>2026-08-20</x:v>
      </x:c>
      <x:c r="N25" s="13" t="str">
        <x:v>配置版本、Skill版本、模型名、部署版本、provider request ID和环境标识</x:v>
      </x:c>
      <x:c r="O25" s="13" t="str">
        <x:v>部署/服务 health状态；配置启用/停用；队列消息 queued/processing/DLQ</x:v>
      </x:c>
      <x:c r="P25" s="13" t="str">
        <x:v>配置缺失、密钥无效、限流、部署失败、队列积压、定时任务重复执行</x:v>
      </x:c>
      <x:c r="Q25" s="13" t="str">
        <x:v>环境与密钥隔离；最小权限；生产操作留审计；日志脱敏</x:v>
      </x:c>
      <x:c r="R25" s="13" t="str">
        <x:v>部署可回滚；Worker/清理任务可重入；密钥不入库不导出；日志按合规期限保留</x:v>
      </x:c>
    </x:row>
    <x:row r="26" ht="72" customHeight="1">
      <x:c r="A26" s="13" t="str">
        <x:v>第 1 期</x:v>
      </x:c>
      <x:c r="B26" s="13" t="str">
        <x:v>6. 平台、工程与上线</x:v>
      </x:c>
      <x:c r="C26" s="13" t="str">
        <x:v>P1-SH-003</x:v>
      </x:c>
      <x:c r="D26" s="13" t="str">
        <x:v>核心设置 / 建立 6 组 25 项共享配置</x:v>
      </x:c>
      <x:c r="E26" s="13" t="str">
        <x:v>P1-SH-003-04</x:v>
      </x:c>
      <x:c r="F26" s="13" t="str">
        <x:v>前端（共享任务）</x:v>
      </x:c>
      <x:c r="G26" s="13" t="str">
        <x:v>建立 6 组 25 项共享配置：版本和自动数量校验</x:v>
      </x:c>
      <x:c r="H26" s="13" t="str">
        <x:v>建立 6 组 25 项共享配置：版本和自动数量校验</x:v>
      </x:c>
      <x:c r="I26" s="13" t="str">
        <x:v>桌面和移动端可操作；正常、空、加载、失败和禁用状态完整；中英文文案可切换。</x:v>
      </x:c>
      <x:c r="J26" s="13" t="str">
        <x:v>P1-SH-003-03</x:v>
      </x:c>
      <x:c r="K26" s="13" t="str">
        <x:v>已完成</x:v>
      </x:c>
      <x:c r="L26" s="13" t="str">
        <x:v>08-20</x:v>
      </x:c>
      <x:c r="M26" s="13" t="str">
        <x:v>2026-08-20</x:v>
      </x:c>
      <x:c r="N26" s="13" t="str">
        <x:v>配置版本、Skill版本、模型名、部署版本、provider request ID和环境标识</x:v>
      </x:c>
      <x:c r="O26" s="13" t="str">
        <x:v>部署/服务 health状态；配置启用/停用；队列消息 queued/processing/DLQ</x:v>
      </x:c>
      <x:c r="P26" s="13" t="str">
        <x:v>配置缺失、密钥无效、限流、部署失败、队列积压、定时任务重复执行</x:v>
      </x:c>
      <x:c r="Q26" s="13" t="str">
        <x:v>环境与密钥隔离；最小权限；生产操作留审计；日志脱敏</x:v>
      </x:c>
      <x:c r="R26" s="13" t="str">
        <x:v>部署可回滚；Worker/清理任务可重入；密钥不入库不导出；日志按合规期限保留</x:v>
      </x:c>
    </x:row>
    <x:row r="27" ht="72" customHeight="1">
      <x:c r="A27" s="13" t="str">
        <x:v>第 1 期</x:v>
      </x:c>
      <x:c r="B27" s="13" t="str">
        <x:v>6. 平台、工程与上线</x:v>
      </x:c>
      <x:c r="C27" s="13" t="str">
        <x:v>P1-SH-004</x:v>
      </x:c>
      <x:c r="D27" s="13" t="str">
        <x:v>测试 / 共享契约测试</x:v>
      </x:c>
      <x:c r="E27" s="13" t="str">
        <x:v>P1-SH-004-01</x:v>
      </x:c>
      <x:c r="F27" s="13" t="str">
        <x:v>前端（共享任务）</x:v>
      </x:c>
      <x:c r="G27" s="13" t="str">
        <x:v>共享契约测试：合法多主体</x:v>
      </x:c>
      <x:c r="H27" s="13" t="str">
        <x:v>共享契约测试：合法多主体</x:v>
      </x:c>
      <x:c r="I27" s="13" t="str">
        <x:v>桌面和移动端可操作；正常、空、加载、失败和禁用状态完整；中英文文案可切换。</x:v>
      </x:c>
      <x:c r="J27" s="13" t="str">
        <x:v>—</x:v>
      </x:c>
      <x:c r="K27" s="13" t="str">
        <x:v>已完成</x:v>
      </x:c>
      <x:c r="L27" s="13" t="str">
        <x:v>08-20</x:v>
      </x:c>
      <x:c r="M27" s="13" t="str">
        <x:v>2026-08-20</x:v>
      </x:c>
      <x:c r="N27" s="13" t="str">
        <x:v>配置版本、Skill版本、模型名、部署版本、provider request ID和环境标识</x:v>
      </x:c>
      <x:c r="O27" s="13" t="str">
        <x:v>部署/服务 health状态；配置启用/停用；队列消息 queued/processing/DLQ</x:v>
      </x:c>
      <x:c r="P27" s="13" t="str">
        <x:v>配置缺失、密钥无效、限流、部署失败、队列积压、定时任务重复执行</x:v>
      </x:c>
      <x:c r="Q27" s="13" t="str">
        <x:v>环境与密钥隔离；最小权限；生产操作留审计；日志脱敏</x:v>
      </x:c>
      <x:c r="R27" s="13" t="str">
        <x:v>部署可回滚；Worker/清理任务可重入；密钥不入库不导出；日志按合规期限保留</x:v>
      </x:c>
    </x:row>
    <x:row r="28" ht="72" customHeight="1">
      <x:c r="A28" s="13" t="str">
        <x:v>第 1 期</x:v>
      </x:c>
      <x:c r="B28" s="13" t="str">
        <x:v>6. 平台、工程与上线</x:v>
      </x:c>
      <x:c r="C28" s="13" t="str">
        <x:v>P1-SH-004</x:v>
      </x:c>
      <x:c r="D28" s="13" t="str">
        <x:v>测试 / 共享契约测试</x:v>
      </x:c>
      <x:c r="E28" s="13" t="str">
        <x:v>P1-SH-004-02</x:v>
      </x:c>
      <x:c r="F28" s="13" t="str">
        <x:v>前端（共享任务）</x:v>
      </x:c>
      <x:c r="G28" s="13" t="str">
        <x:v>共享契约测试：重复主体</x:v>
      </x:c>
      <x:c r="H28" s="13" t="str">
        <x:v>共享契约测试：重复主体</x:v>
      </x:c>
      <x:c r="I28" s="13" t="str">
        <x:v>重复与并发请求不重复创建、扣点或入账；任一步失败可回滚并可安全重试。</x:v>
      </x:c>
      <x:c r="J28" s="13" t="str">
        <x:v>P1-SH-004-01</x:v>
      </x:c>
      <x:c r="K28" s="13" t="str">
        <x:v>已完成</x:v>
      </x:c>
      <x:c r="L28" s="13" t="str">
        <x:v>08-20</x:v>
      </x:c>
      <x:c r="M28" s="13" t="str">
        <x:v>2026-08-20</x:v>
      </x:c>
      <x:c r="N28" s="13" t="str">
        <x:v>配置版本、Skill版本、模型名、部署版本、provider request ID和环境标识</x:v>
      </x:c>
      <x:c r="O28" s="13" t="str">
        <x:v>部署/服务 health状态；配置启用/停用；队列消息 queued/processing/DLQ</x:v>
      </x:c>
      <x:c r="P28" s="13" t="str">
        <x:v>配置缺失、密钥无效、限流、部署失败、队列积压、定时任务重复执行</x:v>
      </x:c>
      <x:c r="Q28" s="13" t="str">
        <x:v>环境与密钥隔离；最小权限；生产操作留审计；日志脱敏</x:v>
      </x:c>
      <x:c r="R28" s="13" t="str">
        <x:v>部署可回滚；Worker/清理任务可重入；密钥不入库不导出；日志按合规期限保留</x:v>
      </x:c>
    </x:row>
    <x:row r="29" ht="72" customHeight="1">
      <x:c r="A29" s="13" t="str">
        <x:v>第 1 期</x:v>
      </x:c>
      <x:c r="B29" s="13" t="str">
        <x:v>6. 平台、工程与上线</x:v>
      </x:c>
      <x:c r="C29" s="13" t="str">
        <x:v>P1-SH-004</x:v>
      </x:c>
      <x:c r="D29" s="13" t="str">
        <x:v>测试 / 共享契约测试</x:v>
      </x:c>
      <x:c r="E29" s="13" t="str">
        <x:v>P1-SH-004-03</x:v>
      </x:c>
      <x:c r="F29" s="13" t="str">
        <x:v>前端（共享任务）</x:v>
      </x:c>
      <x:c r="G29" s="13" t="str">
        <x:v>共享契约测试：背景冲突</x:v>
      </x:c>
      <x:c r="H29" s="13" t="str">
        <x:v>共享契约测试：背景冲突</x:v>
      </x:c>
      <x:c r="I29" s="13" t="str">
        <x:v>桌面和移动端可操作；正常、空、加载、失败和禁用状态完整；中英文文案可切换。</x:v>
      </x:c>
      <x:c r="J29" s="13" t="str">
        <x:v>P1-SH-004-02</x:v>
      </x:c>
      <x:c r="K29" s="13" t="str">
        <x:v>已完成</x:v>
      </x:c>
      <x:c r="L29" s="13" t="str">
        <x:v>08-20</x:v>
      </x:c>
      <x:c r="M29" s="13" t="str">
        <x:v>2026-08-20</x:v>
      </x:c>
      <x:c r="N29" s="13" t="str">
        <x:v>配置版本、Skill版本、模型名、部署版本、provider request ID和环境标识</x:v>
      </x:c>
      <x:c r="O29" s="13" t="str">
        <x:v>部署/服务 health状态；配置启用/停用；队列消息 queued/processing/DLQ</x:v>
      </x:c>
      <x:c r="P29" s="13" t="str">
        <x:v>配置缺失、密钥无效、限流、部署失败、队列积压、定时任务重复执行</x:v>
      </x:c>
      <x:c r="Q29" s="13" t="str">
        <x:v>环境与密钥隔离；最小权限；生产操作留审计；日志脱敏</x:v>
      </x:c>
      <x:c r="R29" s="13" t="str">
        <x:v>部署可回滚；Worker/清理任务可重入；密钥不入库不导出；日志按合规期限保留</x:v>
      </x:c>
    </x:row>
    <x:row r="30" ht="72" customHeight="1">
      <x:c r="A30" s="13" t="str">
        <x:v>第 1 期</x:v>
      </x:c>
      <x:c r="B30" s="13" t="str">
        <x:v>6. 平台、工程与上线</x:v>
      </x:c>
      <x:c r="C30" s="13" t="str">
        <x:v>P1-SH-004</x:v>
      </x:c>
      <x:c r="D30" s="13" t="str">
        <x:v>测试 / 共享契约测试</x:v>
      </x:c>
      <x:c r="E30" s="13" t="str">
        <x:v>P1-SH-004-04</x:v>
      </x:c>
      <x:c r="F30" s="13" t="str">
        <x:v>前端（共享任务）</x:v>
      </x:c>
      <x:c r="G30" s="13" t="str">
        <x:v>共享契约测试：尺寸和 6/25 数量测试</x:v>
      </x:c>
      <x:c r="H30" s="13" t="str">
        <x:v>共享契约测试：尺寸和 6/25 数量测试</x:v>
      </x:c>
      <x:c r="I30" s="13" t="str">
        <x:v>桌面和移动端可操作；正常、空、加载、失败和禁用状态完整；中英文文案可切换。</x:v>
      </x:c>
      <x:c r="J30" s="13" t="str">
        <x:v>P1-SH-004-03</x:v>
      </x:c>
      <x:c r="K30" s="13" t="str">
        <x:v>已完成</x:v>
      </x:c>
      <x:c r="L30" s="13" t="str">
        <x:v>08-20</x:v>
      </x:c>
      <x:c r="M30" s="13" t="str">
        <x:v>2026-08-20</x:v>
      </x:c>
      <x:c r="N30" s="13" t="str">
        <x:v>配置版本、Skill版本、模型名、部署版本、provider request ID和环境标识</x:v>
      </x:c>
      <x:c r="O30" s="13" t="str">
        <x:v>部署/服务 health状态；配置启用/停用；队列消息 queued/processing/DLQ</x:v>
      </x:c>
      <x:c r="P30" s="13" t="str">
        <x:v>配置缺失、密钥无效、限流、部署失败、队列积压、定时任务重复执行</x:v>
      </x:c>
      <x:c r="Q30" s="13" t="str">
        <x:v>环境与密钥隔离；最小权限；生产操作留审计；日志脱敏</x:v>
      </x:c>
      <x:c r="R30" s="13" t="str">
        <x:v>部署可回滚；Worker/清理任务可重入；密钥不入库不导出；日志按合规期限保留</x:v>
      </x:c>
    </x:row>
    <x:row r="31" ht="72" customHeight="1">
      <x:c r="A31" s="13" t="str">
        <x:v>第 1 期</x:v>
      </x:c>
      <x:c r="B31" s="13" t="str">
        <x:v>6. 平台、工程与上线</x:v>
      </x:c>
      <x:c r="C31" s="13" t="str">
        <x:v>P1-FE-001</x:v>
      </x:c>
      <x:c r="D31" s="13" t="str">
        <x:v>工程 / Next.js 前端骨架</x:v>
      </x:c>
      <x:c r="E31" s="13" t="str">
        <x:v>P1-FE-001-01</x:v>
      </x:c>
      <x:c r="F31" s="13" t="str">
        <x:v>前端</x:v>
      </x:c>
      <x:c r="G31" s="13" t="str">
        <x:v>Next.js 前端骨架：路由分组</x:v>
      </x:c>
      <x:c r="H31" s="13" t="str">
        <x:v>Next.js 前端骨架：路由分组</x:v>
      </x:c>
      <x:c r="I31" s="13" t="str">
        <x:v>桌面和移动端可操作；正常、空、加载、失败和禁用状态完整；中英文文案可切换。</x:v>
      </x:c>
      <x:c r="J31" s="13" t="str">
        <x:v>—</x:v>
      </x:c>
      <x:c r="K31" s="13" t="str">
        <x:v>已完成</x:v>
      </x:c>
      <x:c r="L31" s="13" t="str">
        <x:v>08-20</x:v>
      </x:c>
      <x:c r="M31" s="13" t="str">
        <x:v>2026-08-20</x:v>
      </x:c>
      <x:c r="N31" s="13" t="str">
        <x:v>配置版本、Skill版本、模型名、部署版本、provider request ID和环境标识</x:v>
      </x:c>
      <x:c r="O31" s="13" t="str">
        <x:v>部署/服务 health状态；配置启用/停用；队列消息 queued/processing/DLQ</x:v>
      </x:c>
      <x:c r="P31" s="13" t="str">
        <x:v>配置缺失、密钥无效、限流、部署失败、队列积压、定时任务重复执行</x:v>
      </x:c>
      <x:c r="Q31" s="13" t="str">
        <x:v>环境与密钥隔离；最小权限；生产操作留审计；日志脱敏</x:v>
      </x:c>
      <x:c r="R31" s="13" t="str">
        <x:v>部署可回滚；Worker/清理任务可重入；密钥不入库不导出；日志按合规期限保留</x:v>
      </x:c>
    </x:row>
    <x:row r="32" ht="72" customHeight="1">
      <x:c r="A32" s="13" t="str">
        <x:v>第 1 期</x:v>
      </x:c>
      <x:c r="B32" s="13" t="str">
        <x:v>6. 平台、工程与上线</x:v>
      </x:c>
      <x:c r="C32" s="13" t="str">
        <x:v>P1-FE-001</x:v>
      </x:c>
      <x:c r="D32" s="13" t="str">
        <x:v>工程 / Next.js 前端骨架</x:v>
      </x:c>
      <x:c r="E32" s="13" t="str">
        <x:v>P1-FE-001-02</x:v>
      </x:c>
      <x:c r="F32" s="13" t="str">
        <x:v>前端</x:v>
      </x:c>
      <x:c r="G32" s="13" t="str">
        <x:v>Next.js 前端骨架：布局</x:v>
      </x:c>
      <x:c r="H32" s="13" t="str">
        <x:v>Next.js 前端骨架：布局</x:v>
      </x:c>
      <x:c r="I32" s="13" t="str">
        <x:v>桌面和移动端可操作；正常、空、加载、失败和禁用状态完整；中英文文案可切换。</x:v>
      </x:c>
      <x:c r="J32" s="13" t="str">
        <x:v>P1-FE-001-01</x:v>
      </x:c>
      <x:c r="K32" s="13" t="str">
        <x:v>已完成</x:v>
      </x:c>
      <x:c r="L32" s="13" t="str">
        <x:v>08-20</x:v>
      </x:c>
      <x:c r="M32" s="13" t="str">
        <x:v>2026-08-20</x:v>
      </x:c>
      <x:c r="N32" s="13" t="str">
        <x:v>配置版本、Skill版本、模型名、部署版本、provider request ID和环境标识</x:v>
      </x:c>
      <x:c r="O32" s="13" t="str">
        <x:v>部署/服务 health状态；配置启用/停用；队列消息 queued/processing/DLQ</x:v>
      </x:c>
      <x:c r="P32" s="13" t="str">
        <x:v>配置缺失、密钥无效、限流、部署失败、队列积压、定时任务重复执行</x:v>
      </x:c>
      <x:c r="Q32" s="13" t="str">
        <x:v>环境与密钥隔离；最小权限；生产操作留审计；日志脱敏</x:v>
      </x:c>
      <x:c r="R32" s="13" t="str">
        <x:v>部署可回滚；Worker/清理任务可重入；密钥不入库不导出；日志按合规期限保留</x:v>
      </x:c>
    </x:row>
    <x:row r="33" ht="72" customHeight="1">
      <x:c r="A33" s="13" t="str">
        <x:v>第 1 期</x:v>
      </x:c>
      <x:c r="B33" s="13" t="str">
        <x:v>6. 平台、工程与上线</x:v>
      </x:c>
      <x:c r="C33" s="13" t="str">
        <x:v>P1-FE-001</x:v>
      </x:c>
      <x:c r="D33" s="13" t="str">
        <x:v>工程 / Next.js 前端骨架</x:v>
      </x:c>
      <x:c r="E33" s="13" t="str">
        <x:v>P1-FE-001-03</x:v>
      </x:c>
      <x:c r="F33" s="13" t="str">
        <x:v>前端</x:v>
      </x:c>
      <x:c r="G33" s="13" t="str">
        <x:v>Next.js 前端骨架：组件目录</x:v>
      </x:c>
      <x:c r="H33" s="13" t="str">
        <x:v>Next.js 前端骨架：组件目录</x:v>
      </x:c>
      <x:c r="I33" s="13" t="str">
        <x:v>桌面和移动端可操作；正常、空、加载、失败和禁用状态完整；中英文文案可切换。</x:v>
      </x:c>
      <x:c r="J33" s="13" t="str">
        <x:v>P1-FE-001-02</x:v>
      </x:c>
      <x:c r="K33" s="13" t="str">
        <x:v>已完成</x:v>
      </x:c>
      <x:c r="L33" s="13" t="str">
        <x:v>08-20</x:v>
      </x:c>
      <x:c r="M33" s="13" t="str">
        <x:v>2026-08-20</x:v>
      </x:c>
      <x:c r="N33" s="13" t="str">
        <x:v>配置版本、Skill版本、模型名、部署版本、provider request ID和环境标识</x:v>
      </x:c>
      <x:c r="O33" s="13" t="str">
        <x:v>部署/服务 health状态；配置启用/停用；队列消息 queued/processing/DLQ</x:v>
      </x:c>
      <x:c r="P33" s="13" t="str">
        <x:v>配置缺失、密钥无效、限流、部署失败、队列积压、定时任务重复执行</x:v>
      </x:c>
      <x:c r="Q33" s="13" t="str">
        <x:v>环境与密钥隔离；最小权限；生产操作留审计；日志脱敏</x:v>
      </x:c>
      <x:c r="R33" s="13" t="str">
        <x:v>部署可回滚；Worker/清理任务可重入；密钥不入库不导出；日志按合规期限保留</x:v>
      </x:c>
    </x:row>
    <x:row r="34" ht="72" customHeight="1">
      <x:c r="A34" s="13" t="str">
        <x:v>第 1 期</x:v>
      </x:c>
      <x:c r="B34" s="13" t="str">
        <x:v>6. 平台、工程与上线</x:v>
      </x:c>
      <x:c r="C34" s="13" t="str">
        <x:v>P1-FE-001</x:v>
      </x:c>
      <x:c r="D34" s="13" t="str">
        <x:v>工程 / Next.js 前端骨架</x:v>
      </x:c>
      <x:c r="E34" s="13" t="str">
        <x:v>P1-FE-001-04</x:v>
      </x:c>
      <x:c r="F34" s="13" t="str">
        <x:v>前端</x:v>
      </x:c>
      <x:c r="G34" s="13" t="str">
        <x:v>Next.js 前端骨架：质量工具</x:v>
      </x:c>
      <x:c r="H34" s="13" t="str">
        <x:v>Next.js 前端骨架：质量工具</x:v>
      </x:c>
      <x:c r="I34" s="13" t="str">
        <x:v>桌面和移动端可操作；正常、空、加载、失败和禁用状态完整；中英文文案可切换。</x:v>
      </x:c>
      <x:c r="J34" s="13" t="str">
        <x:v>P1-FE-001-03</x:v>
      </x:c>
      <x:c r="K34" s="13" t="str">
        <x:v>已完成</x:v>
      </x:c>
      <x:c r="L34" s="13" t="str">
        <x:v>08-20</x:v>
      </x:c>
      <x:c r="M34" s="13" t="str">
        <x:v>2026-08-20</x:v>
      </x:c>
      <x:c r="N34" s="13" t="str">
        <x:v>配置版本、Skill版本、模型名、部署版本、provider request ID和环境标识</x:v>
      </x:c>
      <x:c r="O34" s="13" t="str">
        <x:v>部署/服务 health状态；配置启用/停用；队列消息 queued/processing/DLQ</x:v>
      </x:c>
      <x:c r="P34" s="13" t="str">
        <x:v>配置缺失、密钥无效、限流、部署失败、队列积压、定时任务重复执行</x:v>
      </x:c>
      <x:c r="Q34" s="13" t="str">
        <x:v>环境与密钥隔离；最小权限；生产操作留审计；日志脱敏</x:v>
      </x:c>
      <x:c r="R34" s="13" t="str">
        <x:v>部署可回滚；Worker/清理任务可重入；密钥不入库不导出；日志按合规期限保留</x:v>
      </x:c>
    </x:row>
    <x:row r="35" ht="72" customHeight="1">
      <x:c r="A35" s="13" t="str">
        <x:v>第 1 期</x:v>
      </x:c>
      <x:c r="B35" s="13" t="str">
        <x:v>6. 平台、工程与上线</x:v>
      </x:c>
      <x:c r="C35" s="13" t="str">
        <x:v>P1-FE-002</x:v>
      </x:c>
      <x:c r="D35" s="13" t="str">
        <x:v>设计系统 / 固定网站视觉语言</x:v>
      </x:c>
      <x:c r="E35" s="13" t="str">
        <x:v>P1-FE-002-01</x:v>
      </x:c>
      <x:c r="F35" s="13" t="str">
        <x:v>前端</x:v>
      </x:c>
      <x:c r="G35" s="13" t="str">
        <x:v>固定网站视觉语言：品牌颜色</x:v>
      </x:c>
      <x:c r="H35" s="13" t="str">
        <x:v>固定网站视觉语言：品牌颜色</x:v>
      </x:c>
      <x:c r="I35" s="13" t="str">
        <x:v>桌面和移动端可操作；正常、空、加载、失败和禁用状态完整；中英文文案可切换。</x:v>
      </x:c>
      <x:c r="J35" s="13" t="str">
        <x:v>—</x:v>
      </x:c>
      <x:c r="K35" s="13" t="str">
        <x:v>已完成</x:v>
      </x:c>
      <x:c r="L35" s="13" t="str">
        <x:v>08-20</x:v>
      </x:c>
      <x:c r="M35" s="13" t="str">
        <x:v>2026-08-20</x:v>
      </x:c>
      <x:c r="N35" s="13" t="str">
        <x:v>配置版本、Skill版本、模型名、部署版本、provider request ID和环境标识</x:v>
      </x:c>
      <x:c r="O35" s="13" t="str">
        <x:v>部署/服务 health状态；配置启用/停用；队列消息 queued/processing/DLQ</x:v>
      </x:c>
      <x:c r="P35" s="13" t="str">
        <x:v>配置缺失、密钥无效、限流、部署失败、队列积压、定时任务重复执行</x:v>
      </x:c>
      <x:c r="Q35" s="13" t="str">
        <x:v>环境与密钥隔离；最小权限；生产操作留审计；日志脱敏</x:v>
      </x:c>
      <x:c r="R35" s="13" t="str">
        <x:v>部署可回滚；Worker/清理任务可重入；密钥不入库不导出；日志按合规期限保留</x:v>
      </x:c>
    </x:row>
    <x:row r="36" ht="72" customHeight="1">
      <x:c r="A36" s="13" t="str">
        <x:v>第 1 期</x:v>
      </x:c>
      <x:c r="B36" s="13" t="str">
        <x:v>6. 平台、工程与上线</x:v>
      </x:c>
      <x:c r="C36" s="13" t="str">
        <x:v>P1-FE-002</x:v>
      </x:c>
      <x:c r="D36" s="13" t="str">
        <x:v>设计系统 / 固定网站视觉语言</x:v>
      </x:c>
      <x:c r="E36" s="13" t="str">
        <x:v>P1-FE-002-02</x:v>
      </x:c>
      <x:c r="F36" s="13" t="str">
        <x:v>前端</x:v>
      </x:c>
      <x:c r="G36" s="13" t="str">
        <x:v>固定网站视觉语言：字体</x:v>
      </x:c>
      <x:c r="H36" s="13" t="str">
        <x:v>固定网站视觉语言：字体</x:v>
      </x:c>
      <x:c r="I36" s="13" t="str">
        <x:v>桌面和移动端可操作；正常、空、加载、失败和禁用状态完整；中英文文案可切换。</x:v>
      </x:c>
      <x:c r="J36" s="13" t="str">
        <x:v>P1-FE-002-01</x:v>
      </x:c>
      <x:c r="K36" s="13" t="str">
        <x:v>已完成</x:v>
      </x:c>
      <x:c r="L36" s="13" t="str">
        <x:v>08-20</x:v>
      </x:c>
      <x:c r="M36" s="13" t="str">
        <x:v>2026-08-20</x:v>
      </x:c>
      <x:c r="N36" s="13" t="str">
        <x:v>配置版本、Skill版本、模型名、部署版本、provider request ID和环境标识</x:v>
      </x:c>
      <x:c r="O36" s="13" t="str">
        <x:v>部署/服务 health状态；配置启用/停用；队列消息 queued/processing/DLQ</x:v>
      </x:c>
      <x:c r="P36" s="13" t="str">
        <x:v>配置缺失、密钥无效、限流、部署失败、队列积压、定时任务重复执行</x:v>
      </x:c>
      <x:c r="Q36" s="13" t="str">
        <x:v>环境与密钥隔离；最小权限；生产操作留审计；日志脱敏</x:v>
      </x:c>
      <x:c r="R36" s="13" t="str">
        <x:v>部署可回滚；Worker/清理任务可重入；密钥不入库不导出；日志按合规期限保留</x:v>
      </x:c>
    </x:row>
    <x:row r="37" ht="72" customHeight="1">
      <x:c r="A37" s="13" t="str">
        <x:v>第 1 期</x:v>
      </x:c>
      <x:c r="B37" s="13" t="str">
        <x:v>6. 平台、工程与上线</x:v>
      </x:c>
      <x:c r="C37" s="13" t="str">
        <x:v>P1-FE-002</x:v>
      </x:c>
      <x:c r="D37" s="13" t="str">
        <x:v>设计系统 / 固定网站视觉语言</x:v>
      </x:c>
      <x:c r="E37" s="13" t="str">
        <x:v>P1-FE-002-03</x:v>
      </x:c>
      <x:c r="F37" s="13" t="str">
        <x:v>前端</x:v>
      </x:c>
      <x:c r="G37" s="13" t="str">
        <x:v>固定网站视觉语言：圆角</x:v>
      </x:c>
      <x:c r="H37" s="13" t="str">
        <x:v>固定网站视觉语言：圆角</x:v>
      </x:c>
      <x:c r="I37" s="13" t="str">
        <x:v>桌面和移动端可操作；正常、空、加载、失败和禁用状态完整；中英文文案可切换。</x:v>
      </x:c>
      <x:c r="J37" s="13" t="str">
        <x:v>P1-FE-002-02</x:v>
      </x:c>
      <x:c r="K37" s="13" t="str">
        <x:v>已完成</x:v>
      </x:c>
      <x:c r="L37" s="13" t="str">
        <x:v>08-20</x:v>
      </x:c>
      <x:c r="M37" s="13" t="str">
        <x:v>2026-08-20</x:v>
      </x:c>
      <x:c r="N37" s="13" t="str">
        <x:v>配置版本、Skill版本、模型名、部署版本、provider request ID和环境标识</x:v>
      </x:c>
      <x:c r="O37" s="13" t="str">
        <x:v>部署/服务 health状态；配置启用/停用；队列消息 queued/processing/DLQ</x:v>
      </x:c>
      <x:c r="P37" s="13" t="str">
        <x:v>配置缺失、密钥无效、限流、部署失败、队列积压、定时任务重复执行</x:v>
      </x:c>
      <x:c r="Q37" s="13" t="str">
        <x:v>环境与密钥隔离；最小权限；生产操作留审计；日志脱敏</x:v>
      </x:c>
      <x:c r="R37" s="13" t="str">
        <x:v>部署可回滚；Worker/清理任务可重入；密钥不入库不导出；日志按合规期限保留</x:v>
      </x:c>
    </x:row>
    <x:row r="38" ht="72" customHeight="1">
      <x:c r="A38" s="13" t="str">
        <x:v>第 1 期</x:v>
      </x:c>
      <x:c r="B38" s="13" t="str">
        <x:v>6. 平台、工程与上线</x:v>
      </x:c>
      <x:c r="C38" s="13" t="str">
        <x:v>P1-FE-002</x:v>
      </x:c>
      <x:c r="D38" s="13" t="str">
        <x:v>设计系统 / 固定网站视觉语言</x:v>
      </x:c>
      <x:c r="E38" s="13" t="str">
        <x:v>P1-FE-002-04</x:v>
      </x:c>
      <x:c r="F38" s="13" t="str">
        <x:v>前端</x:v>
      </x:c>
      <x:c r="G38" s="13" t="str">
        <x:v>固定网站视觉语言：阴影</x:v>
      </x:c>
      <x:c r="H38" s="13" t="str">
        <x:v>固定网站视觉语言：阴影</x:v>
      </x:c>
      <x:c r="I38" s="13" t="str">
        <x:v>桌面和移动端可操作；正常、空、加载、失败和禁用状态完整；中英文文案可切换。</x:v>
      </x:c>
      <x:c r="J38" s="13" t="str">
        <x:v>P1-FE-002-03</x:v>
      </x:c>
      <x:c r="K38" s="13" t="str">
        <x:v>已完成</x:v>
      </x:c>
      <x:c r="L38" s="13" t="str">
        <x:v>08-20</x:v>
      </x:c>
      <x:c r="M38" s="13" t="str">
        <x:v>2026-08-20</x:v>
      </x:c>
      <x:c r="N38" s="13" t="str">
        <x:v>配置版本、Skill版本、模型名、部署版本、provider request ID和环境标识</x:v>
      </x:c>
      <x:c r="O38" s="13" t="str">
        <x:v>部署/服务 health状态；配置启用/停用；队列消息 queued/processing/DLQ</x:v>
      </x:c>
      <x:c r="P38" s="13" t="str">
        <x:v>配置缺失、密钥无效、限流、部署失败、队列积压、定时任务重复执行</x:v>
      </x:c>
      <x:c r="Q38" s="13" t="str">
        <x:v>环境与密钥隔离；最小权限；生产操作留审计；日志脱敏</x:v>
      </x:c>
      <x:c r="R38" s="13" t="str">
        <x:v>部署可回滚；Worker/清理任务可重入；密钥不入库不导出；日志按合规期限保留</x:v>
      </x:c>
    </x:row>
    <x:row r="39" ht="72" customHeight="1">
      <x:c r="A39" s="13" t="str">
        <x:v>第 1 期</x:v>
      </x:c>
      <x:c r="B39" s="13" t="str">
        <x:v>6. 平台、工程与上线</x:v>
      </x:c>
      <x:c r="C39" s="13" t="str">
        <x:v>P1-FE-002</x:v>
      </x:c>
      <x:c r="D39" s="13" t="str">
        <x:v>设计系统 / 固定网站视觉语言</x:v>
      </x:c>
      <x:c r="E39" s="13" t="str">
        <x:v>P1-FE-002-05</x:v>
      </x:c>
      <x:c r="F39" s="13" t="str">
        <x:v>前端</x:v>
      </x:c>
      <x:c r="G39" s="13" t="str">
        <x:v>固定网站视觉语言：间距</x:v>
      </x:c>
      <x:c r="H39" s="13" t="str">
        <x:v>固定网站视觉语言：间距</x:v>
      </x:c>
      <x:c r="I39" s="13" t="str">
        <x:v>桌面和移动端可操作；正常、空、加载、失败和禁用状态完整；中英文文案可切换。</x:v>
      </x:c>
      <x:c r="J39" s="13" t="str">
        <x:v>P1-FE-002-04</x:v>
      </x:c>
      <x:c r="K39" s="13" t="str">
        <x:v>已完成</x:v>
      </x:c>
      <x:c r="L39" s="13" t="str">
        <x:v>08-20</x:v>
      </x:c>
      <x:c r="M39" s="13" t="str">
        <x:v>2026-08-20</x:v>
      </x:c>
      <x:c r="N39" s="13" t="str">
        <x:v>配置版本、Skill版本、模型名、部署版本、provider request ID和环境标识</x:v>
      </x:c>
      <x:c r="O39" s="13" t="str">
        <x:v>部署/服务 health状态；配置启用/停用；队列消息 queued/processing/DLQ</x:v>
      </x:c>
      <x:c r="P39" s="13" t="str">
        <x:v>配置缺失、密钥无效、限流、部署失败、队列积压、定时任务重复执行</x:v>
      </x:c>
      <x:c r="Q39" s="13" t="str">
        <x:v>环境与密钥隔离；最小权限；生产操作留审计；日志脱敏</x:v>
      </x:c>
      <x:c r="R39" s="13" t="str">
        <x:v>部署可回滚；Worker/清理任务可重入；密钥不入库不导出；日志按合规期限保留</x:v>
      </x:c>
    </x:row>
    <x:row r="40" ht="72" customHeight="1">
      <x:c r="A40" s="13" t="str">
        <x:v>第 1 期</x:v>
      </x:c>
      <x:c r="B40" s="13" t="str">
        <x:v>6. 平台、工程与上线</x:v>
      </x:c>
      <x:c r="C40" s="13" t="str">
        <x:v>P1-FE-002</x:v>
      </x:c>
      <x:c r="D40" s="13" t="str">
        <x:v>设计系统 / 固定网站视觉语言</x:v>
      </x:c>
      <x:c r="E40" s="13" t="str">
        <x:v>P1-FE-002-06</x:v>
      </x:c>
      <x:c r="F40" s="13" t="str">
        <x:v>前端</x:v>
      </x:c>
      <x:c r="G40" s="13" t="str">
        <x:v>固定网站视觉语言：基础组件和响应式布局</x:v>
      </x:c>
      <x:c r="H40" s="13" t="str">
        <x:v>固定网站视觉语言：基础组件和响应式布局</x:v>
      </x:c>
      <x:c r="I40" s="13" t="str">
        <x:v>桌面和移动端可操作；正常、空、加载、失败和禁用状态完整；中英文文案可切换。</x:v>
      </x:c>
      <x:c r="J40" s="13" t="str">
        <x:v>P1-FE-002-05</x:v>
      </x:c>
      <x:c r="K40" s="13" t="str">
        <x:v>已完成</x:v>
      </x:c>
      <x:c r="L40" s="13" t="str">
        <x:v>08-20</x:v>
      </x:c>
      <x:c r="M40" s="13" t="str">
        <x:v>2026-08-20</x:v>
      </x:c>
      <x:c r="N40" s="13" t="str">
        <x:v>配置版本、Skill版本、模型名、部署版本、provider request ID和环境标识</x:v>
      </x:c>
      <x:c r="O40" s="13" t="str">
        <x:v>部署/服务 health状态；配置启用/停用；队列消息 queued/processing/DLQ</x:v>
      </x:c>
      <x:c r="P40" s="13" t="str">
        <x:v>配置缺失、密钥无效、限流、部署失败、队列积压、定时任务重复执行</x:v>
      </x:c>
      <x:c r="Q40" s="13" t="str">
        <x:v>环境与密钥隔离；最小权限；生产操作留审计；日志脱敏</x:v>
      </x:c>
      <x:c r="R40" s="13" t="str">
        <x:v>部署可回滚；Worker/清理任务可重入；密钥不入库不导出；日志按合规期限保留</x:v>
      </x:c>
    </x:row>
    <x:row r="41" ht="72" customHeight="1">
      <x:c r="A41" s="13" t="str">
        <x:v>第 1 期</x:v>
      </x:c>
      <x:c r="B41" s="13" t="str">
        <x:v>6. 平台、工程与上线</x:v>
      </x:c>
      <x:c r="C41" s="13" t="str">
        <x:v>P1-FE-003</x:v>
      </x:c>
      <x:c r="D41" s="13" t="str">
        <x:v>国际化 / 中英文切换基础</x:v>
      </x:c>
      <x:c r="E41" s="13" t="str">
        <x:v>P1-FE-003-01</x:v>
      </x:c>
      <x:c r="F41" s="13" t="str">
        <x:v>前端</x:v>
      </x:c>
      <x:c r="G41" s="13" t="str">
        <x:v>中英文切换基础：Locale Provider</x:v>
      </x:c>
      <x:c r="H41" s="13" t="str">
        <x:v>中英文切换基础：Locale Provider</x:v>
      </x:c>
      <x:c r="I41" s="13" t="str">
        <x:v>桌面和移动端可操作；正常、空、加载、失败和禁用状态完整；中英文文案可切换。</x:v>
      </x:c>
      <x:c r="J41" s="13" t="str">
        <x:v>—</x:v>
      </x:c>
      <x:c r="K41" s="13" t="str">
        <x:v>已完成</x:v>
      </x:c>
      <x:c r="L41" s="13" t="str">
        <x:v>08-20</x:v>
      </x:c>
      <x:c r="M41" s="13" t="str">
        <x:v>2026-08-20</x:v>
      </x:c>
      <x:c r="N41" s="13" t="str">
        <x:v>配置版本、Skill版本、模型名、部署版本、provider request ID和环境标识</x:v>
      </x:c>
      <x:c r="O41" s="13" t="str">
        <x:v>部署/服务 health状态；配置启用/停用；队列消息 queued/processing/DLQ</x:v>
      </x:c>
      <x:c r="P41" s="13" t="str">
        <x:v>配置缺失、密钥无效、限流、部署失败、队列积压、定时任务重复执行</x:v>
      </x:c>
      <x:c r="Q41" s="13" t="str">
        <x:v>环境与密钥隔离；最小权限；生产操作留审计；日志脱敏</x:v>
      </x:c>
      <x:c r="R41" s="13" t="str">
        <x:v>部署可回滚；Worker/清理任务可重入；密钥不入库不导出；日志按合规期限保留</x:v>
      </x:c>
    </x:row>
    <x:row r="42" ht="72" customHeight="1">
      <x:c r="A42" s="13" t="str">
        <x:v>第 1 期</x:v>
      </x:c>
      <x:c r="B42" s="13" t="str">
        <x:v>6. 平台、工程与上线</x:v>
      </x:c>
      <x:c r="C42" s="13" t="str">
        <x:v>P1-FE-003</x:v>
      </x:c>
      <x:c r="D42" s="13" t="str">
        <x:v>国际化 / 中英文切换基础</x:v>
      </x:c>
      <x:c r="E42" s="13" t="str">
        <x:v>P1-FE-003-02</x:v>
      </x:c>
      <x:c r="F42" s="13" t="str">
        <x:v>前端</x:v>
      </x:c>
      <x:c r="G42" s="13" t="str">
        <x:v>中英文切换基础：语言开关</x:v>
      </x:c>
      <x:c r="H42" s="13" t="str">
        <x:v>中英文切换基础：语言开关</x:v>
      </x:c>
      <x:c r="I42" s="13" t="str">
        <x:v>桌面和移动端可操作；正常、空、加载、失败和禁用状态完整；中英文文案可切换。</x:v>
      </x:c>
      <x:c r="J42" s="13" t="str">
        <x:v>P1-FE-003-01</x:v>
      </x:c>
      <x:c r="K42" s="13" t="str">
        <x:v>已完成</x:v>
      </x:c>
      <x:c r="L42" s="13" t="str">
        <x:v>08-20</x:v>
      </x:c>
      <x:c r="M42" s="13" t="str">
        <x:v>2026-08-20</x:v>
      </x:c>
      <x:c r="N42" s="13" t="str">
        <x:v>配置版本、Skill版本、模型名、部署版本、provider request ID和环境标识</x:v>
      </x:c>
      <x:c r="O42" s="13" t="str">
        <x:v>部署/服务 health状态；配置启用/停用；队列消息 queued/processing/DLQ</x:v>
      </x:c>
      <x:c r="P42" s="13" t="str">
        <x:v>配置缺失、密钥无效、限流、部署失败、队列积压、定时任务重复执行</x:v>
      </x:c>
      <x:c r="Q42" s="13" t="str">
        <x:v>环境与密钥隔离；最小权限；生产操作留审计；日志脱敏</x:v>
      </x:c>
      <x:c r="R42" s="13" t="str">
        <x:v>部署可回滚；Worker/清理任务可重入；密钥不入库不导出；日志按合规期限保留</x:v>
      </x:c>
    </x:row>
    <x:row r="43" ht="72" customHeight="1">
      <x:c r="A43" s="13" t="str">
        <x:v>第 1 期</x:v>
      </x:c>
      <x:c r="B43" s="13" t="str">
        <x:v>6. 平台、工程与上线</x:v>
      </x:c>
      <x:c r="C43" s="13" t="str">
        <x:v>P1-FE-003</x:v>
      </x:c>
      <x:c r="D43" s="13" t="str">
        <x:v>国际化 / 中英文切换基础</x:v>
      </x:c>
      <x:c r="E43" s="13" t="str">
        <x:v>P1-FE-003-03</x:v>
      </x:c>
      <x:c r="F43" s="13" t="str">
        <x:v>前端</x:v>
      </x:c>
      <x:c r="G43" s="13" t="str">
        <x:v>中英文切换基础：稳定 ID 不随语言变化</x:v>
      </x:c>
      <x:c r="H43" s="13" t="str">
        <x:v>中英文切换基础：稳定 ID 不随语言变化</x:v>
      </x:c>
      <x:c r="I43" s="13" t="str">
        <x:v>桌面和移动端可操作；正常、空、加载、失败和禁用状态完整；中英文文案可切换。</x:v>
      </x:c>
      <x:c r="J43" s="13" t="str">
        <x:v>P1-FE-003-02</x:v>
      </x:c>
      <x:c r="K43" s="13" t="str">
        <x:v>已完成</x:v>
      </x:c>
      <x:c r="L43" s="13" t="str">
        <x:v>08-20</x:v>
      </x:c>
      <x:c r="M43" s="13" t="str">
        <x:v>2026-08-20</x:v>
      </x:c>
      <x:c r="N43" s="13" t="str">
        <x:v>配置版本、Skill版本、模型名、部署版本、provider request ID和环境标识</x:v>
      </x:c>
      <x:c r="O43" s="13" t="str">
        <x:v>部署/服务 health状态；配置启用/停用；队列消息 queued/processing/DLQ</x:v>
      </x:c>
      <x:c r="P43" s="13" t="str">
        <x:v>配置缺失、密钥无效、限流、部署失败、队列积压、定时任务重复执行</x:v>
      </x:c>
      <x:c r="Q43" s="13" t="str">
        <x:v>环境与密钥隔离；最小权限；生产操作留审计；日志脱敏</x:v>
      </x:c>
      <x:c r="R43" s="13" t="str">
        <x:v>部署可回滚；Worker/清理任务可重入；密钥不入库不导出；日志按合规期限保留</x:v>
      </x:c>
    </x:row>
    <x:row r="44" ht="72" customHeight="1">
      <x:c r="A44" s="13" t="str">
        <x:v>第 1 期</x:v>
      </x:c>
      <x:c r="B44" s="13" t="str">
        <x:v>4. 点数与商业化</x:v>
      </x:c>
      <x:c r="C44" s="13" t="str">
        <x:v>P1-FE-004</x:v>
      </x:c>
      <x:c r="D44" s="13" t="str">
        <x:v>营销 / 首页与价格页展示骨架</x:v>
      </x:c>
      <x:c r="E44" s="13" t="str">
        <x:v>P1-FE-004-01</x:v>
      </x:c>
      <x:c r="F44" s="13" t="str">
        <x:v>前端</x:v>
      </x:c>
      <x:c r="G44" s="13" t="str">
        <x:v>UI Icon 定位</x:v>
      </x:c>
      <x:c r="H44" s="13" t="str">
        <x:v>UI Icon 定位</x:v>
      </x:c>
      <x:c r="I44" s="13" t="str">
        <x:v>桌面和移动端可操作；正常、空、加载、失败和禁用状态完整；中英文文案可切换。</x:v>
      </x:c>
      <x:c r="J44" s="13" t="str">
        <x:v>—</x:v>
      </x:c>
      <x:c r="K44" s="13" t="str">
        <x:v>已完成</x:v>
      </x:c>
      <x:c r="L44" s="13" t="str">
        <x:v>08-20</x:v>
      </x:c>
      <x:c r="M44" s="13" t="str">
        <x:v>2026-08-20</x:v>
      </x:c>
      <x:c r="N44" s="13" t="str">
        <x:v>order id(UUID)+order_number(后端生成)；ledger_id(UUID)；Stripe session/payment/event ID；package/pricing version</x:v>
      </x:c>
      <x:c r="O44" s="13" t="str">
        <x:v>order: pending/paid/canceled/expired/failed/refunded；账本记录不可变，余额为快照</x:v>
      </x:c>
      <x:c r="P44" s="13" t="str">
        <x:v>套餐停用/改价、重复点击、Checkout失败、Webhook重复/乱序/伪造、金额币种不一致、退款争议</x:v>
      </x:c>
      <x:c r="Q44" s="13" t="str">
        <x:v>用户只读本人订单/账本；只有验签Webhook可入账；管理员调点需授权和审计</x:v>
      </x:c>
      <x:c r="R44" s="13" t="str">
        <x:v>(user_id,idempotency_key)防重复下单；Event ID去重；订单行锁原子入账；订单/账本进入个人数据导出</x:v>
      </x:c>
    </x:row>
    <x:row r="45" ht="72" customHeight="1">
      <x:c r="A45" s="13" t="str">
        <x:v>第 1 期</x:v>
      </x:c>
      <x:c r="B45" s="13" t="str">
        <x:v>4. 点数与商业化</x:v>
      </x:c>
      <x:c r="C45" s="13" t="str">
        <x:v>P1-FE-004</x:v>
      </x:c>
      <x:c r="D45" s="13" t="str">
        <x:v>营销 / 首页与价格页展示骨架</x:v>
      </x:c>
      <x:c r="E45" s="13" t="str">
        <x:v>P1-FE-004-02</x:v>
      </x:c>
      <x:c r="F45" s="13" t="str">
        <x:v>前端</x:v>
      </x:c>
      <x:c r="G45" s="13" t="str">
        <x:v>首页与价格页展示骨架：30/$2.99</x:v>
      </x:c>
      <x:c r="H45" s="13" t="str">
        <x:v>首页与价格页展示骨架：30/$2.99</x:v>
      </x:c>
      <x:c r="I45" s="13" t="str">
        <x:v>桌面和移动端可操作；正常、空、加载、失败和禁用状态完整；中英文文案可切换。</x:v>
      </x:c>
      <x:c r="J45" s="13" t="str">
        <x:v>P1-FE-004-01</x:v>
      </x:c>
      <x:c r="K45" s="13" t="str">
        <x:v>已完成</x:v>
      </x:c>
      <x:c r="L45" s="13" t="str">
        <x:v>08-20</x:v>
      </x:c>
      <x:c r="M45" s="13" t="str">
        <x:v>2026-08-20</x:v>
      </x:c>
      <x:c r="N45" s="13" t="str">
        <x:v>order id(UUID)+order_number(后端生成)；ledger_id(UUID)；Stripe session/payment/event ID；package/pricing version</x:v>
      </x:c>
      <x:c r="O45" s="13" t="str">
        <x:v>order: pending/paid/canceled/expired/failed/refunded；账本记录不可变，余额为快照</x:v>
      </x:c>
      <x:c r="P45" s="13" t="str">
        <x:v>套餐停用/改价、重复点击、Checkout失败、Webhook重复/乱序/伪造、金额币种不一致、退款争议</x:v>
      </x:c>
      <x:c r="Q45" s="13" t="str">
        <x:v>用户只读本人订单/账本；只有验签Webhook可入账；管理员调点需授权和审计</x:v>
      </x:c>
      <x:c r="R45" s="13" t="str">
        <x:v>(user_id,idempotency_key)防重复下单；Event ID去重；订单行锁原子入账；订单/账本进入个人数据导出</x:v>
      </x:c>
    </x:row>
    <x:row r="46" ht="72" customHeight="1">
      <x:c r="A46" s="13" t="str">
        <x:v>第 1 期</x:v>
      </x:c>
      <x:c r="B46" s="13" t="str">
        <x:v>4. 点数与商业化</x:v>
      </x:c>
      <x:c r="C46" s="13" t="str">
        <x:v>P1-FE-004</x:v>
      </x:c>
      <x:c r="D46" s="13" t="str">
        <x:v>营销 / 首页与价格页展示骨架</x:v>
      </x:c>
      <x:c r="E46" s="13" t="str">
        <x:v>P1-FE-004-03</x:v>
      </x:c>
      <x:c r="F46" s="13" t="str">
        <x:v>前端</x:v>
      </x:c>
      <x:c r="G46" s="13" t="str">
        <x:v>首页与价格页展示骨架：75/$6.49</x:v>
      </x:c>
      <x:c r="H46" s="13" t="str">
        <x:v>首页与价格页展示骨架：75/$6.49</x:v>
      </x:c>
      <x:c r="I46" s="13" t="str">
        <x:v>桌面和移动端可操作；正常、空、加载、失败和禁用状态完整；中英文文案可切换。</x:v>
      </x:c>
      <x:c r="J46" s="13" t="str">
        <x:v>P1-FE-004-02</x:v>
      </x:c>
      <x:c r="K46" s="13" t="str">
        <x:v>已完成</x:v>
      </x:c>
      <x:c r="L46" s="13" t="str">
        <x:v>08-20</x:v>
      </x:c>
      <x:c r="M46" s="13" t="str">
        <x:v>2026-08-20</x:v>
      </x:c>
      <x:c r="N46" s="13" t="str">
        <x:v>order id(UUID)+order_number(后端生成)；ledger_id(UUID)；Stripe session/payment/event ID；package/pricing version</x:v>
      </x:c>
      <x:c r="O46" s="13" t="str">
        <x:v>order: pending/paid/canceled/expired/failed/refunded；账本记录不可变，余额为快照</x:v>
      </x:c>
      <x:c r="P46" s="13" t="str">
        <x:v>套餐停用/改价、重复点击、Checkout失败、Webhook重复/乱序/伪造、金额币种不一致、退款争议</x:v>
      </x:c>
      <x:c r="Q46" s="13" t="str">
        <x:v>用户只读本人订单/账本；只有验签Webhook可入账；管理员调点需授权和审计</x:v>
      </x:c>
      <x:c r="R46" s="13" t="str">
        <x:v>(user_id,idempotency_key)防重复下单；Event ID去重；订单行锁原子入账；订单/账本进入个人数据导出</x:v>
      </x:c>
    </x:row>
    <x:row r="47" ht="72" customHeight="1">
      <x:c r="A47" s="13" t="str">
        <x:v>第 1 期</x:v>
      </x:c>
      <x:c r="B47" s="13" t="str">
        <x:v>4. 点数与商业化</x:v>
      </x:c>
      <x:c r="C47" s="13" t="str">
        <x:v>P1-FE-004</x:v>
      </x:c>
      <x:c r="D47" s="13" t="str">
        <x:v>营销 / 首页与价格页展示骨架</x:v>
      </x:c>
      <x:c r="E47" s="13" t="str">
        <x:v>P1-FE-004-04</x:v>
      </x:c>
      <x:c r="F47" s="13" t="str">
        <x:v>前端</x:v>
      </x:c>
      <x:c r="G47" s="13" t="str">
        <x:v>首页与价格页展示骨架：180/$12.99 展示</x:v>
      </x:c>
      <x:c r="H47" s="13" t="str">
        <x:v>首页与价格页展示骨架：180/$12.99 展示</x:v>
      </x:c>
      <x:c r="I47" s="13" t="str">
        <x:v>桌面和移动端可操作；正常、空、加载、失败和禁用状态完整；中英文文案可切换。</x:v>
      </x:c>
      <x:c r="J47" s="13" t="str">
        <x:v>P1-FE-004-03</x:v>
      </x:c>
      <x:c r="K47" s="13" t="str">
        <x:v>已完成</x:v>
      </x:c>
      <x:c r="L47" s="13" t="str">
        <x:v>08-20</x:v>
      </x:c>
      <x:c r="M47" s="13" t="str">
        <x:v>2026-08-20</x:v>
      </x:c>
      <x:c r="N47" s="13" t="str">
        <x:v>order id(UUID)+order_number(后端生成)；ledger_id(UUID)；Stripe session/payment/event ID；package/pricing version</x:v>
      </x:c>
      <x:c r="O47" s="13" t="str">
        <x:v>order: pending/paid/canceled/expired/failed/refunded；账本记录不可变，余额为快照</x:v>
      </x:c>
      <x:c r="P47" s="13" t="str">
        <x:v>套餐停用/改价、重复点击、Checkout失败、Webhook重复/乱序/伪造、金额币种不一致、退款争议</x:v>
      </x:c>
      <x:c r="Q47" s="13" t="str">
        <x:v>用户只读本人订单/账本；只有验签Webhook可入账；管理员调点需授权和审计</x:v>
      </x:c>
      <x:c r="R47" s="13" t="str">
        <x:v>(user_id,idempotency_key)防重复下单；Event ID去重；订单行锁原子入账；订单/账本进入个人数据导出</x:v>
      </x:c>
    </x:row>
    <x:row r="48" ht="72" customHeight="1">
      <x:c r="A48" s="13" t="str">
        <x:v>第 1 期</x:v>
      </x:c>
      <x:c r="B48" s="13" t="str">
        <x:v>1. 用户、登录与账户</x:v>
      </x:c>
      <x:c r="C48" s="13" t="str">
        <x:v>P1-FE-005</x:v>
      </x:c>
      <x:c r="D48" s="13" t="str">
        <x:v>认证 / 登录页面</x:v>
      </x:c>
      <x:c r="E48" s="13" t="str">
        <x:v>P1-FE-005-01</x:v>
      </x:c>
      <x:c r="F48" s="13" t="str">
        <x:v>前端</x:v>
      </x:c>
      <x:c r="G48" s="13" t="str">
        <x:v>登录页面：邮箱密码登录</x:v>
      </x:c>
      <x:c r="H48" s="13" t="str">
        <x:v>登录页面：邮箱密码登录</x:v>
      </x:c>
      <x:c r="I48" s="13" t="str">
        <x:v>桌面和移动端可操作；正常、空、加载、失败和禁用状态完整；中英文文案可切换。</x:v>
      </x:c>
      <x:c r="J48" s="13" t="str">
        <x:v>—</x:v>
      </x:c>
      <x:c r="K48" s="13" t="str">
        <x:v>已完成</x:v>
      </x:c>
      <x:c r="L48" s="13" t="str">
        <x:v>08-20</x:v>
      </x:c>
      <x:c r="M48" s="13" t="str">
        <x:v>2026-08-20</x:v>
      </x:c>
      <x:c r="N48" s="13" t="str">
        <x:v>用户 user_id(UUID)；删除申请 deletion_request_id(UUID)；数据导出 export_id(UUID)；邮箱仅作登录标识</x:v>
      </x:c>
      <x:c r="O48" s="13" t="str">
        <x:v>unverified → active → deletion_pending → deleted；导出 queued/processing/ready/failed/expired</x:v>
      </x:c>
      <x:c r="P48" s="13" t="str">
        <x:v>重复注册、未验证、会话过期、活动生成任务阻止删除、导出过期或失败可重试</x:v>
      </x:c>
      <x:c r="Q48" s="13" t="str">
        <x:v>仅本人读写账户；高风险操作重新认证；Service Role 仅后端持有</x:v>
      </x:c>
      <x:c r="R48" s="13" t="str">
        <x:v>账户初始化/6点赠送/删除申请/导出创建均有稳定幂等键；删除宽限30天，导出ZIP 24小时</x:v>
      </x:c>
    </x:row>
    <x:row r="49" ht="72" customHeight="1">
      <x:c r="A49" s="13" t="str">
        <x:v>第 1 期</x:v>
      </x:c>
      <x:c r="B49" s="13" t="str">
        <x:v>1. 用户、登录与账户</x:v>
      </x:c>
      <x:c r="C49" s="13" t="str">
        <x:v>P1-FE-005</x:v>
      </x:c>
      <x:c r="D49" s="13" t="str">
        <x:v>认证 / 登录页面</x:v>
      </x:c>
      <x:c r="E49" s="13" t="str">
        <x:v>P1-FE-005-02</x:v>
      </x:c>
      <x:c r="F49" s="13" t="str">
        <x:v>前端</x:v>
      </x:c>
      <x:c r="G49" s="13" t="str">
        <x:v>登录页面：忘记密码入口</x:v>
      </x:c>
      <x:c r="H49" s="13" t="str">
        <x:v>登录页面：忘记密码入口</x:v>
      </x:c>
      <x:c r="I49" s="13" t="str">
        <x:v>桌面和移动端可操作；正常、空、加载、失败和禁用状态完整；中英文文案可切换。</x:v>
      </x:c>
      <x:c r="J49" s="13" t="str">
        <x:v>P1-FE-005-01</x:v>
      </x:c>
      <x:c r="K49" s="13" t="str">
        <x:v>已完成</x:v>
      </x:c>
      <x:c r="L49" s="13" t="str">
        <x:v>08-20</x:v>
      </x:c>
      <x:c r="M49" s="13" t="str">
        <x:v>2026-08-20</x:v>
      </x:c>
      <x:c r="N49" s="13" t="str">
        <x:v>用户 user_id(UUID)；删除申请 deletion_request_id(UUID)；数据导出 export_id(UUID)；邮箱仅作登录标识</x:v>
      </x:c>
      <x:c r="O49" s="13" t="str">
        <x:v>unverified → active → deletion_pending → deleted；导出 queued/processing/ready/failed/expired</x:v>
      </x:c>
      <x:c r="P49" s="13" t="str">
        <x:v>重复注册、未验证、会话过期、活动生成任务阻止删除、导出过期或失败可重试</x:v>
      </x:c>
      <x:c r="Q49" s="13" t="str">
        <x:v>仅本人读写账户；高风险操作重新认证；Service Role 仅后端持有</x:v>
      </x:c>
      <x:c r="R49" s="13" t="str">
        <x:v>账户初始化/6点赠送/删除申请/导出创建均有稳定幂等键；删除宽限30天，导出ZIP 24小时</x:v>
      </x:c>
    </x:row>
    <x:row r="50" ht="72" customHeight="1">
      <x:c r="A50" s="13" t="str">
        <x:v>第 1 期</x:v>
      </x:c>
      <x:c r="B50" s="13" t="str">
        <x:v>1. 用户、登录与账户</x:v>
      </x:c>
      <x:c r="C50" s="13" t="str">
        <x:v>P1-FE-005</x:v>
      </x:c>
      <x:c r="D50" s="13" t="str">
        <x:v>认证 / 登录页面</x:v>
      </x:c>
      <x:c r="E50" s="13" t="str">
        <x:v>P1-FE-005-03</x:v>
      </x:c>
      <x:c r="F50" s="13" t="str">
        <x:v>前端</x:v>
      </x:c>
      <x:c r="G50" s="13" t="str">
        <x:v>登录页面：双语和错误状态</x:v>
      </x:c>
      <x:c r="H50" s="13" t="str">
        <x:v>登录页面：双语和错误状态</x:v>
      </x:c>
      <x:c r="I50" s="13" t="str">
        <x:v>桌面和移动端可操作；正常、空、加载、失败和禁用状态完整；中英文文案可切换。</x:v>
      </x:c>
      <x:c r="J50" s="13" t="str">
        <x:v>P1-FE-005-02</x:v>
      </x:c>
      <x:c r="K50" s="13" t="str">
        <x:v>已完成</x:v>
      </x:c>
      <x:c r="L50" s="13" t="str">
        <x:v>08-20</x:v>
      </x:c>
      <x:c r="M50" s="13" t="str">
        <x:v>2026-08-20</x:v>
      </x:c>
      <x:c r="N50" s="13" t="str">
        <x:v>用户 user_id(UUID)；删除申请 deletion_request_id(UUID)；数据导出 export_id(UUID)；邮箱仅作登录标识</x:v>
      </x:c>
      <x:c r="O50" s="13" t="str">
        <x:v>unverified → active → deletion_pending → deleted；导出 queued/processing/ready/failed/expired</x:v>
      </x:c>
      <x:c r="P50" s="13" t="str">
        <x:v>重复注册、未验证、会话过期、活动生成任务阻止删除、导出过期或失败可重试</x:v>
      </x:c>
      <x:c r="Q50" s="13" t="str">
        <x:v>仅本人读写账户；高风险操作重新认证；Service Role 仅后端持有</x:v>
      </x:c>
      <x:c r="R50" s="13" t="str">
        <x:v>账户初始化/6点赠送/删除申请/导出创建均有稳定幂等键；删除宽限30天，导出ZIP 24小时</x:v>
      </x:c>
    </x:row>
    <x:row r="51" ht="72" customHeight="1">
      <x:c r="A51" s="13" t="str">
        <x:v>第 1 期</x:v>
      </x:c>
      <x:c r="B51" s="13" t="str">
        <x:v>6. 平台、工程与上线</x:v>
      </x:c>
      <x:c r="C51" s="13" t="str">
        <x:v>P1-DOC-003</x:v>
      </x:c>
      <x:c r="D51" s="13" t="str">
        <x:v>接口 / v2 前端调用手册</x:v>
      </x:c>
      <x:c r="E51" s="13" t="str">
        <x:v>P1-DOC-003-01</x:v>
      </x:c>
      <x:c r="F51" s="13" t="str">
        <x:v>前端（共享任务）</x:v>
      </x:c>
      <x:c r="G51" s="13" t="str">
        <x:v>v2 前端调用手册：创建请求</x:v>
      </x:c>
      <x:c r="H51" s="13" t="str">
        <x:v>v2 前端调用手册：创建请求</x:v>
      </x:c>
      <x:c r="I51" s="13" t="str">
        <x:v>桌面和移动端可操作；正常、空、加载、失败和禁用状态完整；中英文文案可切换。</x:v>
      </x:c>
      <x:c r="J51" s="13" t="str">
        <x:v>—</x:v>
      </x:c>
      <x:c r="K51" s="13" t="str">
        <x:v>已完成</x:v>
      </x:c>
      <x:c r="L51" s="13" t="str">
        <x:v>08-20</x:v>
      </x:c>
      <x:c r="M51" s="13" t="str">
        <x:v>2026-08-20</x:v>
      </x:c>
      <x:c r="N51" s="13" t="str">
        <x:v>配置版本、Skill版本、模型名、部署版本、provider request ID和环境标识</x:v>
      </x:c>
      <x:c r="O51" s="13" t="str">
        <x:v>部署/服务 health状态；配置启用/停用；队列消息 queued/processing/DLQ</x:v>
      </x:c>
      <x:c r="P51" s="13" t="str">
        <x:v>配置缺失、密钥无效、限流、部署失败、队列积压、定时任务重复执行</x:v>
      </x:c>
      <x:c r="Q51" s="13" t="str">
        <x:v>环境与密钥隔离；最小权限；生产操作留审计；日志脱敏</x:v>
      </x:c>
      <x:c r="R51" s="13" t="str">
        <x:v>部署可回滚；Worker/清理任务可重入；密钥不入库不导出；日志按合规期限保留</x:v>
      </x:c>
    </x:row>
    <x:row r="52" ht="72" customHeight="1">
      <x:c r="A52" s="13" t="str">
        <x:v>第 1 期</x:v>
      </x:c>
      <x:c r="B52" s="13" t="str">
        <x:v>6. 平台、工程与上线</x:v>
      </x:c>
      <x:c r="C52" s="13" t="str">
        <x:v>P1-DOC-003</x:v>
      </x:c>
      <x:c r="D52" s="13" t="str">
        <x:v>接口 / v2 前端调用手册</x:v>
      </x:c>
      <x:c r="E52" s="13" t="str">
        <x:v>P1-DOC-003-02</x:v>
      </x:c>
      <x:c r="F52" s="13" t="str">
        <x:v>前端（共享任务）</x:v>
      </x:c>
      <x:c r="G52" s="13" t="str">
        <x:v>v2 前端调用手册：任务响应</x:v>
      </x:c>
      <x:c r="H52" s="13" t="str">
        <x:v>v2 前端调用手册：任务响应</x:v>
      </x:c>
      <x:c r="I52" s="13" t="str">
        <x:v>桌面和移动端可操作；正常、空、加载、失败和禁用状态完整；中英文文案可切换。</x:v>
      </x:c>
      <x:c r="J52" s="13" t="str">
        <x:v>P1-DOC-003-01</x:v>
      </x:c>
      <x:c r="K52" s="13" t="str">
        <x:v>已完成</x:v>
      </x:c>
      <x:c r="L52" s="13" t="str">
        <x:v>08-20</x:v>
      </x:c>
      <x:c r="M52" s="13" t="str">
        <x:v>2026-08-20</x:v>
      </x:c>
      <x:c r="N52" s="13" t="str">
        <x:v>配置版本、Skill版本、模型名、部署版本、provider request ID和环境标识</x:v>
      </x:c>
      <x:c r="O52" s="13" t="str">
        <x:v>部署/服务 health状态；配置启用/停用；队列消息 queued/processing/DLQ</x:v>
      </x:c>
      <x:c r="P52" s="13" t="str">
        <x:v>配置缺失、密钥无效、限流、部署失败、队列积压、定时任务重复执行</x:v>
      </x:c>
      <x:c r="Q52" s="13" t="str">
        <x:v>环境与密钥隔离；最小权限；生产操作留审计；日志脱敏</x:v>
      </x:c>
      <x:c r="R52" s="13" t="str">
        <x:v>部署可回滚；Worker/清理任务可重入；密钥不入库不导出；日志按合规期限保留</x:v>
      </x:c>
    </x:row>
    <x:row r="53" ht="72" customHeight="1">
      <x:c r="A53" s="13" t="str">
        <x:v>第 1 期</x:v>
      </x:c>
      <x:c r="B53" s="13" t="str">
        <x:v>6. 平台、工程与上线</x:v>
      </x:c>
      <x:c r="C53" s="13" t="str">
        <x:v>P1-DOC-003</x:v>
      </x:c>
      <x:c r="D53" s="13" t="str">
        <x:v>接口 / v2 前端调用手册</x:v>
      </x:c>
      <x:c r="E53" s="13" t="str">
        <x:v>P1-DOC-003-03</x:v>
      </x:c>
      <x:c r="F53" s="13" t="str">
        <x:v>前端（共享任务）</x:v>
      </x:c>
      <x:c r="G53" s="13" t="str">
        <x:v>v2 前端调用手册：错误码</x:v>
      </x:c>
      <x:c r="H53" s="13" t="str">
        <x:v>v2 前端调用手册：错误码</x:v>
      </x:c>
      <x:c r="I53" s="13" t="str">
        <x:v>桌面和移动端可操作；正常、空、加载、失败和禁用状态完整；中英文文案可切换。</x:v>
      </x:c>
      <x:c r="J53" s="13" t="str">
        <x:v>P1-DOC-003-02</x:v>
      </x:c>
      <x:c r="K53" s="13" t="str">
        <x:v>已完成</x:v>
      </x:c>
      <x:c r="L53" s="13" t="str">
        <x:v>08-20</x:v>
      </x:c>
      <x:c r="M53" s="13" t="str">
        <x:v>2026-08-20</x:v>
      </x:c>
      <x:c r="N53" s="13" t="str">
        <x:v>配置版本、Skill版本、模型名、部署版本、provider request ID和环境标识</x:v>
      </x:c>
      <x:c r="O53" s="13" t="str">
        <x:v>部署/服务 health状态；配置启用/停用；队列消息 queued/processing/DLQ</x:v>
      </x:c>
      <x:c r="P53" s="13" t="str">
        <x:v>配置缺失、密钥无效、限流、部署失败、队列积压、定时任务重复执行</x:v>
      </x:c>
      <x:c r="Q53" s="13" t="str">
        <x:v>环境与密钥隔离；最小权限；生产操作留审计；日志脱敏</x:v>
      </x:c>
      <x:c r="R53" s="13" t="str">
        <x:v>部署可回滚；Worker/清理任务可重入；密钥不入库不导出；日志按合规期限保留</x:v>
      </x:c>
    </x:row>
    <x:row r="54" ht="72" customHeight="1">
      <x:c r="A54" s="13" t="str">
        <x:v>第 1 期</x:v>
      </x:c>
      <x:c r="B54" s="13" t="str">
        <x:v>6. 平台、工程与上线</x:v>
      </x:c>
      <x:c r="C54" s="13" t="str">
        <x:v>P1-DOC-003</x:v>
      </x:c>
      <x:c r="D54" s="13" t="str">
        <x:v>接口 / v2 前端调用手册</x:v>
      </x:c>
      <x:c r="E54" s="13" t="str">
        <x:v>P1-DOC-003-04</x:v>
      </x:c>
      <x:c r="F54" s="13" t="str">
        <x:v>前端（共享任务）</x:v>
      </x:c>
      <x:c r="G54" s="13" t="str">
        <x:v>v2 前端调用手册：轮询与迁移边界</x:v>
      </x:c>
      <x:c r="H54" s="13" t="str">
        <x:v>v2 前端调用手册：轮询与迁移边界</x:v>
      </x:c>
      <x:c r="I54" s="13" t="str">
        <x:v>桌面和移动端可操作；正常、空、加载、失败和禁用状态完整；中英文文案可切换。</x:v>
      </x:c>
      <x:c r="J54" s="13" t="str">
        <x:v>P1-DOC-003-03</x:v>
      </x:c>
      <x:c r="K54" s="13" t="str">
        <x:v>已完成</x:v>
      </x:c>
      <x:c r="L54" s="13" t="str">
        <x:v>08-20</x:v>
      </x:c>
      <x:c r="M54" s="13" t="str">
        <x:v>2026-08-20</x:v>
      </x:c>
      <x:c r="N54" s="13" t="str">
        <x:v>配置版本、Skill版本、模型名、部署版本、provider request ID和环境标识</x:v>
      </x:c>
      <x:c r="O54" s="13" t="str">
        <x:v>部署/服务 health状态；配置启用/停用；队列消息 queued/processing/DLQ</x:v>
      </x:c>
      <x:c r="P54" s="13" t="str">
        <x:v>配置缺失、密钥无效、限流、部署失败、队列积压、定时任务重复执行</x:v>
      </x:c>
      <x:c r="Q54" s="13" t="str">
        <x:v>环境与密钥隔离；最小权限；生产操作留审计；日志脱敏</x:v>
      </x:c>
      <x:c r="R54" s="13" t="str">
        <x:v>部署可回滚；Worker/清理任务可重入；密钥不入库不导出；日志按合规期限保留</x:v>
      </x:c>
    </x:row>
    <x:row r="55" ht="72" customHeight="1">
      <x:c r="A55" s="13" t="str">
        <x:v>第 1 期</x:v>
      </x:c>
      <x:c r="B55" s="13" t="str">
        <x:v>6. 平台、工程与上线</x:v>
      </x:c>
      <x:c r="C55" s="13" t="str">
        <x:v>P1-FE-006</x:v>
      </x:c>
      <x:c r="D55" s="13" t="str">
        <x:v>创建页 / 多主体输入</x:v>
      </x:c>
      <x:c r="E55" s="13" t="str">
        <x:v>P1-FE-006-01</x:v>
      </x:c>
      <x:c r="F55" s="13" t="str">
        <x:v>前端</x:v>
      </x:c>
      <x:c r="G55" s="13" t="str">
        <x:v>多主体输入：添加</x:v>
      </x:c>
      <x:c r="H55" s="13" t="str">
        <x:v>多主体输入：添加</x:v>
      </x:c>
      <x:c r="I55" s="13" t="str">
        <x:v>桌面和移动端可操作；正常、空、加载、失败和禁用状态完整；中英文文案可切换。</x:v>
      </x:c>
      <x:c r="J55" s="13" t="str">
        <x:v>P1-SH-002</x:v>
      </x:c>
      <x:c r="K55" s="13" t="str">
        <x:v>待完成</x:v>
      </x:c>
      <x:c r="L55" s="13" t="str">
        <x:v>08-22～08-24</x:v>
      </x:c>
      <x:c r="M55" s="13" t="str">
        <x:v>—</x:v>
      </x:c>
      <x:c r="N55" s="13" t="str">
        <x:v>配置版本、Skill版本、模型名、部署版本、provider request ID和环境标识</x:v>
      </x:c>
      <x:c r="O55" s="13" t="str">
        <x:v>部署/服务 health状态；配置启用/停用；队列消息 queued/processing/DLQ</x:v>
      </x:c>
      <x:c r="P55" s="13" t="str">
        <x:v>配置缺失、密钥无效、限流、部署失败、队列积压、定时任务重复执行</x:v>
      </x:c>
      <x:c r="Q55" s="13" t="str">
        <x:v>环境与密钥隔离；最小权限；生产操作留审计；日志脱敏</x:v>
      </x:c>
      <x:c r="R55" s="13" t="str">
        <x:v>部署可回滚；Worker/清理任务可重入；密钥不入库不导出；日志按合规期限保留</x:v>
      </x:c>
    </x:row>
    <x:row r="56" ht="72" customHeight="1">
      <x:c r="A56" s="13" t="str">
        <x:v>第 1 期</x:v>
      </x:c>
      <x:c r="B56" s="13" t="str">
        <x:v>6. 平台、工程与上线</x:v>
      </x:c>
      <x:c r="C56" s="13" t="str">
        <x:v>P1-FE-006</x:v>
      </x:c>
      <x:c r="D56" s="13" t="str">
        <x:v>创建页 / 多主体输入</x:v>
      </x:c>
      <x:c r="E56" s="13" t="str">
        <x:v>P1-FE-006-02</x:v>
      </x:c>
      <x:c r="F56" s="13" t="str">
        <x:v>前端</x:v>
      </x:c>
      <x:c r="G56" s="13" t="str">
        <x:v>多主体输入：删除</x:v>
      </x:c>
      <x:c r="H56" s="13" t="str">
        <x:v>多主体输入：删除</x:v>
      </x:c>
      <x:c r="I56" s="13" t="str">
        <x:v>桌面和移动端可操作；正常、空、加载、失败和禁用状态完整；中英文文案可切换。</x:v>
      </x:c>
      <x:c r="J56" s="13" t="str">
        <x:v>P1-FE-006-01</x:v>
      </x:c>
      <x:c r="K56" s="13" t="str">
        <x:v>待完成</x:v>
      </x:c>
      <x:c r="L56" s="13" t="str">
        <x:v>08-22～08-24</x:v>
      </x:c>
      <x:c r="M56" s="13" t="str">
        <x:v>—</x:v>
      </x:c>
      <x:c r="N56" s="13" t="str">
        <x:v>配置版本、Skill版本、模型名、部署版本、provider request ID和环境标识</x:v>
      </x:c>
      <x:c r="O56" s="13" t="str">
        <x:v>部署/服务 health状态；配置启用/停用；队列消息 queued/processing/DLQ</x:v>
      </x:c>
      <x:c r="P56" s="13" t="str">
        <x:v>配置缺失、密钥无效、限流、部署失败、队列积压、定时任务重复执行</x:v>
      </x:c>
      <x:c r="Q56" s="13" t="str">
        <x:v>环境与密钥隔离；最小权限；生产操作留审计；日志脱敏</x:v>
      </x:c>
      <x:c r="R56" s="13" t="str">
        <x:v>部署可回滚；Worker/清理任务可重入；密钥不入库不导出；日志按合规期限保留</x:v>
      </x:c>
    </x:row>
    <x:row r="57" ht="72" customHeight="1">
      <x:c r="A57" s="13" t="str">
        <x:v>第 1 期</x:v>
      </x:c>
      <x:c r="B57" s="13" t="str">
        <x:v>6. 平台、工程与上线</x:v>
      </x:c>
      <x:c r="C57" s="13" t="str">
        <x:v>P1-FE-006</x:v>
      </x:c>
      <x:c r="D57" s="13" t="str">
        <x:v>创建页 / 多主体输入</x:v>
      </x:c>
      <x:c r="E57" s="13" t="str">
        <x:v>P1-FE-006-03</x:v>
      </x:c>
      <x:c r="F57" s="13" t="str">
        <x:v>前端</x:v>
      </x:c>
      <x:c r="G57" s="13" t="str">
        <x:v>多主体输入：排序</x:v>
      </x:c>
      <x:c r="H57" s="13" t="str">
        <x:v>多主体输入：排序</x:v>
      </x:c>
      <x:c r="I57" s="13" t="str">
        <x:v>桌面和移动端可操作；正常、空、加载、失败和禁用状态完整；中英文文案可切换。</x:v>
      </x:c>
      <x:c r="J57" s="13" t="str">
        <x:v>P1-FE-006-02</x:v>
      </x:c>
      <x:c r="K57" s="13" t="str">
        <x:v>待完成</x:v>
      </x:c>
      <x:c r="L57" s="13" t="str">
        <x:v>08-22～08-24</x:v>
      </x:c>
      <x:c r="M57" s="13" t="str">
        <x:v>—</x:v>
      </x:c>
      <x:c r="N57" s="13" t="str">
        <x:v>配置版本、Skill版本、模型名、部署版本、provider request ID和环境标识</x:v>
      </x:c>
      <x:c r="O57" s="13" t="str">
        <x:v>部署/服务 health状态；配置启用/停用；队列消息 queued/processing/DLQ</x:v>
      </x:c>
      <x:c r="P57" s="13" t="str">
        <x:v>配置缺失、密钥无效、限流、部署失败、队列积压、定时任务重复执行</x:v>
      </x:c>
      <x:c r="Q57" s="13" t="str">
        <x:v>环境与密钥隔离；最小权限；生产操作留审计；日志脱敏</x:v>
      </x:c>
      <x:c r="R57" s="13" t="str">
        <x:v>部署可回滚；Worker/清理任务可重入；密钥不入库不导出；日志按合规期限保留</x:v>
      </x:c>
    </x:row>
    <x:row r="58" ht="72" customHeight="1">
      <x:c r="A58" s="13" t="str">
        <x:v>第 1 期</x:v>
      </x:c>
      <x:c r="B58" s="13" t="str">
        <x:v>6. 平台、工程与上线</x:v>
      </x:c>
      <x:c r="C58" s="13" t="str">
        <x:v>P1-FE-006</x:v>
      </x:c>
      <x:c r="D58" s="13" t="str">
        <x:v>创建页 / 多主体输入</x:v>
      </x:c>
      <x:c r="E58" s="13" t="str">
        <x:v>P1-FE-006-04</x:v>
      </x:c>
      <x:c r="F58" s="13" t="str">
        <x:v>前端</x:v>
      </x:c>
      <x:c r="G58" s="13" t="str">
        <x:v>多主体输入：批量粘贴</x:v>
      </x:c>
      <x:c r="H58" s="13" t="str">
        <x:v>多主体输入：批量粘贴</x:v>
      </x:c>
      <x:c r="I58" s="13" t="str">
        <x:v>桌面和移动端可操作；正常、空、加载、失败和禁用状态完整；中英文文案可切换。</x:v>
      </x:c>
      <x:c r="J58" s="13" t="str">
        <x:v>P1-FE-006-03</x:v>
      </x:c>
      <x:c r="K58" s="13" t="str">
        <x:v>待完成</x:v>
      </x:c>
      <x:c r="L58" s="13" t="str">
        <x:v>08-22～08-24</x:v>
      </x:c>
      <x:c r="M58" s="13" t="str">
        <x:v>—</x:v>
      </x:c>
      <x:c r="N58" s="13" t="str">
        <x:v>配置版本、Skill版本、模型名、部署版本、provider request ID和环境标识</x:v>
      </x:c>
      <x:c r="O58" s="13" t="str">
        <x:v>部署/服务 health状态；配置启用/停用；队列消息 queued/processing/DLQ</x:v>
      </x:c>
      <x:c r="P58" s="13" t="str">
        <x:v>配置缺失、密钥无效、限流、部署失败、队列积压、定时任务重复执行</x:v>
      </x:c>
      <x:c r="Q58" s="13" t="str">
        <x:v>环境与密钥隔离；最小权限；生产操作留审计；日志脱敏</x:v>
      </x:c>
      <x:c r="R58" s="13" t="str">
        <x:v>部署可回滚；Worker/清理任务可重入；密钥不入库不导出；日志按合规期限保留</x:v>
      </x:c>
    </x:row>
    <x:row r="59" ht="72" customHeight="1">
      <x:c r="A59" s="13" t="str">
        <x:v>第 1 期</x:v>
      </x:c>
      <x:c r="B59" s="13" t="str">
        <x:v>6. 平台、工程与上线</x:v>
      </x:c>
      <x:c r="C59" s="13" t="str">
        <x:v>P1-FE-006</x:v>
      </x:c>
      <x:c r="D59" s="13" t="str">
        <x:v>创建页 / 多主体输入</x:v>
      </x:c>
      <x:c r="E59" s="13" t="str">
        <x:v>P1-FE-006-05</x:v>
      </x:c>
      <x:c r="F59" s="13" t="str">
        <x:v>前端</x:v>
      </x:c>
      <x:c r="G59" s="13" t="str">
        <x:v>多主体输入：1–20 限制</x:v>
      </x:c>
      <x:c r="H59" s="13" t="str">
        <x:v>多主体输入：1–20 限制</x:v>
      </x:c>
      <x:c r="I59" s="13" t="str">
        <x:v>桌面和移动端可操作；正常、空、加载、失败和禁用状态完整；中英文文案可切换。</x:v>
      </x:c>
      <x:c r="J59" s="13" t="str">
        <x:v>P1-FE-006-04</x:v>
      </x:c>
      <x:c r="K59" s="13" t="str">
        <x:v>待完成</x:v>
      </x:c>
      <x:c r="L59" s="13" t="str">
        <x:v>08-22～08-24</x:v>
      </x:c>
      <x:c r="M59" s="13" t="str">
        <x:v>—</x:v>
      </x:c>
      <x:c r="N59" s="13" t="str">
        <x:v>配置版本、Skill版本、模型名、部署版本、provider request ID和环境标识</x:v>
      </x:c>
      <x:c r="O59" s="13" t="str">
        <x:v>部署/服务 health状态；配置启用/停用；队列消息 queued/processing/DLQ</x:v>
      </x:c>
      <x:c r="P59" s="13" t="str">
        <x:v>配置缺失、密钥无效、限流、部署失败、队列积压、定时任务重复执行</x:v>
      </x:c>
      <x:c r="Q59" s="13" t="str">
        <x:v>环境与密钥隔离；最小权限；生产操作留审计；日志脱敏</x:v>
      </x:c>
      <x:c r="R59" s="13" t="str">
        <x:v>部署可回滚；Worker/清理任务可重入；密钥不入库不导出；日志按合规期限保留</x:v>
      </x:c>
    </x:row>
    <x:row r="60" ht="72" customHeight="1">
      <x:c r="A60" s="13" t="str">
        <x:v>第 1 期</x:v>
      </x:c>
      <x:c r="B60" s="13" t="str">
        <x:v>6. 平台、工程与上线</x:v>
      </x:c>
      <x:c r="C60" s="13" t="str">
        <x:v>P1-FE-006</x:v>
      </x:c>
      <x:c r="D60" s="13" t="str">
        <x:v>创建页 / 多主体输入</x:v>
      </x:c>
      <x:c r="E60" s="13" t="str">
        <x:v>P1-FE-006-06</x:v>
      </x:c>
      <x:c r="F60" s="13" t="str">
        <x:v>前端</x:v>
      </x:c>
      <x:c r="G60" s="13" t="str">
        <x:v>多主体输入：本地草稿</x:v>
      </x:c>
      <x:c r="H60" s="13" t="str">
        <x:v>多主体输入：本地草稿</x:v>
      </x:c>
      <x:c r="I60" s="13" t="str">
        <x:v>桌面和移动端可操作；正常、空、加载、失败和禁用状态完整；中英文文案可切换。</x:v>
      </x:c>
      <x:c r="J60" s="13" t="str">
        <x:v>P1-FE-006-05</x:v>
      </x:c>
      <x:c r="K60" s="13" t="str">
        <x:v>待完成</x:v>
      </x:c>
      <x:c r="L60" s="13" t="str">
        <x:v>08-22～08-24</x:v>
      </x:c>
      <x:c r="M60" s="13" t="str">
        <x:v>—</x:v>
      </x:c>
      <x:c r="N60" s="13" t="str">
        <x:v>配置版本、Skill版本、模型名、部署版本、provider request ID和环境标识</x:v>
      </x:c>
      <x:c r="O60" s="13" t="str">
        <x:v>部署/服务 health状态；配置启用/停用；队列消息 queued/processing/DLQ</x:v>
      </x:c>
      <x:c r="P60" s="13" t="str">
        <x:v>配置缺失、密钥无效、限流、部署失败、队列积压、定时任务重复执行</x:v>
      </x:c>
      <x:c r="Q60" s="13" t="str">
        <x:v>环境与密钥隔离；最小权限；生产操作留审计；日志脱敏</x:v>
      </x:c>
      <x:c r="R60" s="13" t="str">
        <x:v>部署可回滚；Worker/清理任务可重入；密钥不入库不导出；日志按合规期限保留</x:v>
      </x:c>
    </x:row>
    <x:row r="61" ht="72" customHeight="1">
      <x:c r="A61" s="13" t="str">
        <x:v>第 1 期</x:v>
      </x:c>
      <x:c r="B61" s="13" t="str">
        <x:v>6. 平台、工程与上线</x:v>
      </x:c>
      <x:c r="C61" s="13" t="str">
        <x:v>P1-FE-007</x:v>
      </x:c>
      <x:c r="D61" s="13" t="str">
        <x:v>创建页 / 颜色与背景设置</x:v>
      </x:c>
      <x:c r="E61" s="13" t="str">
        <x:v>P1-FE-007-01</x:v>
      </x:c>
      <x:c r="F61" s="13" t="str">
        <x:v>前端</x:v>
      </x:c>
      <x:c r="G61" s="13" t="str">
        <x:v>主体纯色/渐变</x:v>
      </x:c>
      <x:c r="H61" s="13" t="str">
        <x:v>主体纯色/渐变</x:v>
      </x:c>
      <x:c r="I61" s="13" t="str">
        <x:v>桌面和移动端可操作；正常、空、加载、失败和禁用状态完整；中英文文案可切换。</x:v>
      </x:c>
      <x:c r="J61" s="13" t="str">
        <x:v>P1-SH-002</x:v>
      </x:c>
      <x:c r="K61" s="13" t="str">
        <x:v>待完成</x:v>
      </x:c>
      <x:c r="L61" s="13" t="str">
        <x:v>08-23～08-25</x:v>
      </x:c>
      <x:c r="M61" s="13" t="str">
        <x:v>—</x:v>
      </x:c>
      <x:c r="N61" s="13" t="str">
        <x:v>配置版本、Skill版本、模型名、部署版本、provider request ID和环境标识</x:v>
      </x:c>
      <x:c r="O61" s="13" t="str">
        <x:v>部署/服务 health状态；配置启用/停用；队列消息 queued/processing/DLQ</x:v>
      </x:c>
      <x:c r="P61" s="13" t="str">
        <x:v>配置缺失、密钥无效、限流、部署失败、队列积压、定时任务重复执行</x:v>
      </x:c>
      <x:c r="Q61" s="13" t="str">
        <x:v>环境与密钥隔离；最小权限；生产操作留审计；日志脱敏</x:v>
      </x:c>
      <x:c r="R61" s="13" t="str">
        <x:v>部署可回滚；Worker/清理任务可重入；密钥不入库不导出；日志按合规期限保留</x:v>
      </x:c>
    </x:row>
    <x:row r="62" ht="72" customHeight="1">
      <x:c r="A62" s="13" t="str">
        <x:v>第 1 期</x:v>
      </x:c>
      <x:c r="B62" s="13" t="str">
        <x:v>6. 平台、工程与上线</x:v>
      </x:c>
      <x:c r="C62" s="13" t="str">
        <x:v>P1-FE-007</x:v>
      </x:c>
      <x:c r="D62" s="13" t="str">
        <x:v>创建页 / 颜色与背景设置</x:v>
      </x:c>
      <x:c r="E62" s="13" t="str">
        <x:v>P1-FE-007-02</x:v>
      </x:c>
      <x:c r="F62" s="13" t="str">
        <x:v>前端</x:v>
      </x:c>
      <x:c r="G62" s="13" t="str">
        <x:v>颜色与背景设置：背景开关</x:v>
      </x:c>
      <x:c r="H62" s="13" t="str">
        <x:v>颜色与背景设置：背景开关</x:v>
      </x:c>
      <x:c r="I62" s="13" t="str">
        <x:v>桌面和移动端可操作；正常、空、加载、失败和禁用状态完整；中英文文案可切换。</x:v>
      </x:c>
      <x:c r="J62" s="13" t="str">
        <x:v>P1-FE-007-01</x:v>
      </x:c>
      <x:c r="K62" s="13" t="str">
        <x:v>待完成</x:v>
      </x:c>
      <x:c r="L62" s="13" t="str">
        <x:v>08-23～08-25</x:v>
      </x:c>
      <x:c r="M62" s="13" t="str">
        <x:v>—</x:v>
      </x:c>
      <x:c r="N62" s="13" t="str">
        <x:v>配置版本、Skill版本、模型名、部署版本、provider request ID和环境标识</x:v>
      </x:c>
      <x:c r="O62" s="13" t="str">
        <x:v>部署/服务 health状态；配置启用/停用；队列消息 queued/processing/DLQ</x:v>
      </x:c>
      <x:c r="P62" s="13" t="str">
        <x:v>配置缺失、密钥无效、限流、部署失败、队列积压、定时任务重复执行</x:v>
      </x:c>
      <x:c r="Q62" s="13" t="str">
        <x:v>环境与密钥隔离；最小权限；生产操作留审计；日志脱敏</x:v>
      </x:c>
      <x:c r="R62" s="13" t="str">
        <x:v>部署可回滚；Worker/清理任务可重入；密钥不入库不导出；日志按合规期限保留</x:v>
      </x:c>
    </x:row>
    <x:row r="63" ht="72" customHeight="1">
      <x:c r="A63" s="13" t="str">
        <x:v>第 1 期</x:v>
      </x:c>
      <x:c r="B63" s="13" t="str">
        <x:v>6. 平台、工程与上线</x:v>
      </x:c>
      <x:c r="C63" s="13" t="str">
        <x:v>P1-FE-007</x:v>
      </x:c>
      <x:c r="D63" s="13" t="str">
        <x:v>创建页 / 颜色与背景设置</x:v>
      </x:c>
      <x:c r="E63" s="13" t="str">
        <x:v>P1-FE-007-03</x:v>
      </x:c>
      <x:c r="F63" s="13" t="str">
        <x:v>前端</x:v>
      </x:c>
      <x:c r="G63" s="13" t="str">
        <x:v>颜色与背景设置：容器</x:v>
      </x:c>
      <x:c r="H63" s="13" t="str">
        <x:v>颜色与背景设置：容器</x:v>
      </x:c>
      <x:c r="I63" s="13" t="str">
        <x:v>桌面和移动端可操作；正常、空、加载、失败和禁用状态完整；中英文文案可切换。</x:v>
      </x:c>
      <x:c r="J63" s="13" t="str">
        <x:v>P1-FE-007-02</x:v>
      </x:c>
      <x:c r="K63" s="13" t="str">
        <x:v>待完成</x:v>
      </x:c>
      <x:c r="L63" s="13" t="str">
        <x:v>08-23～08-25</x:v>
      </x:c>
      <x:c r="M63" s="13" t="str">
        <x:v>—</x:v>
      </x:c>
      <x:c r="N63" s="13" t="str">
        <x:v>配置版本、Skill版本、模型名、部署版本、provider request ID和环境标识</x:v>
      </x:c>
      <x:c r="O63" s="13" t="str">
        <x:v>部署/服务 health状态；配置启用/停用；队列消息 queued/processing/DLQ</x:v>
      </x:c>
      <x:c r="P63" s="13" t="str">
        <x:v>配置缺失、密钥无效、限流、部署失败、队列积压、定时任务重复执行</x:v>
      </x:c>
      <x:c r="Q63" s="13" t="str">
        <x:v>环境与密钥隔离；最小权限；生产操作留审计；日志脱敏</x:v>
      </x:c>
      <x:c r="R63" s="13" t="str">
        <x:v>部署可回滚；Worker/清理任务可重入；密钥不入库不导出；日志按合规期限保留</x:v>
      </x:c>
    </x:row>
    <x:row r="64" ht="72" customHeight="1">
      <x:c r="A64" s="13" t="str">
        <x:v>第 1 期</x:v>
      </x:c>
      <x:c r="B64" s="13" t="str">
        <x:v>6. 平台、工程与上线</x:v>
      </x:c>
      <x:c r="C64" s="13" t="str">
        <x:v>P1-FE-007</x:v>
      </x:c>
      <x:c r="D64" s="13" t="str">
        <x:v>创建页 / 颜色与背景设置</x:v>
      </x:c>
      <x:c r="E64" s="13" t="str">
        <x:v>P1-FE-007-04</x:v>
      </x:c>
      <x:c r="F64" s="13" t="str">
        <x:v>前端</x:v>
      </x:c>
      <x:c r="G64" s="13" t="str">
        <x:v>颜色与背景设置：颜色和方向</x:v>
      </x:c>
      <x:c r="H64" s="13" t="str">
        <x:v>颜色与背景设置：颜色和方向</x:v>
      </x:c>
      <x:c r="I64" s="13" t="str">
        <x:v>桌面和移动端可操作；正常、空、加载、失败和禁用状态完整；中英文文案可切换。</x:v>
      </x:c>
      <x:c r="J64" s="13" t="str">
        <x:v>P1-FE-007-03</x:v>
      </x:c>
      <x:c r="K64" s="13" t="str">
        <x:v>待完成</x:v>
      </x:c>
      <x:c r="L64" s="13" t="str">
        <x:v>08-23～08-25</x:v>
      </x:c>
      <x:c r="M64" s="13" t="str">
        <x:v>—</x:v>
      </x:c>
      <x:c r="N64" s="13" t="str">
        <x:v>配置版本、Skill版本、模型名、部署版本、provider request ID和环境标识</x:v>
      </x:c>
      <x:c r="O64" s="13" t="str">
        <x:v>部署/服务 health状态；配置启用/停用；队列消息 queued/processing/DLQ</x:v>
      </x:c>
      <x:c r="P64" s="13" t="str">
        <x:v>配置缺失、密钥无效、限流、部署失败、队列积压、定时任务重复执行</x:v>
      </x:c>
      <x:c r="Q64" s="13" t="str">
        <x:v>环境与密钥隔离；最小权限；生产操作留审计；日志脱敏</x:v>
      </x:c>
      <x:c r="R64" s="13" t="str">
        <x:v>部署可回滚；Worker/清理任务可重入；密钥不入库不导出；日志按合规期限保留</x:v>
      </x:c>
    </x:row>
    <x:row r="65" ht="72" customHeight="1">
      <x:c r="A65" s="13" t="str">
        <x:v>第 1 期</x:v>
      </x:c>
      <x:c r="B65" s="13" t="str">
        <x:v>6. 平台、工程与上线</x:v>
      </x:c>
      <x:c r="C65" s="13" t="str">
        <x:v>P1-FE-007</x:v>
      </x:c>
      <x:c r="D65" s="13" t="str">
        <x:v>创建页 / 颜色与背景设置</x:v>
      </x:c>
      <x:c r="E65" s="13" t="str">
        <x:v>P1-FE-007-05</x:v>
      </x:c>
      <x:c r="F65" s="13" t="str">
        <x:v>前端</x:v>
      </x:c>
      <x:c r="G65" s="13" t="str">
        <x:v>字段联动</x:v>
      </x:c>
      <x:c r="H65" s="13" t="str">
        <x:v>字段联动</x:v>
      </x:c>
      <x:c r="I65" s="13" t="str">
        <x:v>桌面和移动端可操作；正常、空、加载、失败和禁用状态完整；中英文文案可切换。</x:v>
      </x:c>
      <x:c r="J65" s="13" t="str">
        <x:v>P1-FE-007-04</x:v>
      </x:c>
      <x:c r="K65" s="13" t="str">
        <x:v>待完成</x:v>
      </x:c>
      <x:c r="L65" s="13" t="str">
        <x:v>08-23～08-25</x:v>
      </x:c>
      <x:c r="M65" s="13" t="str">
        <x:v>—</x:v>
      </x:c>
      <x:c r="N65" s="13" t="str">
        <x:v>配置版本、Skill版本、模型名、部署版本、provider request ID和环境标识</x:v>
      </x:c>
      <x:c r="O65" s="13" t="str">
        <x:v>部署/服务 health状态；配置启用/停用；队列消息 queued/processing/DLQ</x:v>
      </x:c>
      <x:c r="P65" s="13" t="str">
        <x:v>配置缺失、密钥无效、限流、部署失败、队列积压、定时任务重复执行</x:v>
      </x:c>
      <x:c r="Q65" s="13" t="str">
        <x:v>环境与密钥隔离；最小权限；生产操作留审计；日志脱敏</x:v>
      </x:c>
      <x:c r="R65" s="13" t="str">
        <x:v>部署可回滚；Worker/清理任务可重入；密钥不入库不导出；日志按合规期限保留</x:v>
      </x:c>
    </x:row>
    <x:row r="66" ht="72" customHeight="1">
      <x:c r="A66" s="13" t="str">
        <x:v>第 1 期</x:v>
      </x:c>
      <x:c r="B66" s="13" t="str">
        <x:v>6. 平台、工程与上线</x:v>
      </x:c>
      <x:c r="C66" s="13" t="str">
        <x:v>P1-FE-008</x:v>
      </x:c>
      <x:c r="D66" s="13" t="str">
        <x:v>创建页 / 6 组 25 项设置</x:v>
      </x:c>
      <x:c r="E66" s="13" t="str">
        <x:v>P1-FE-008-01</x:v>
      </x:c>
      <x:c r="F66" s="13" t="str">
        <x:v>前端</x:v>
      </x:c>
      <x:c r="G66" s="13" t="str">
        <x:v>从共享包渲染</x:v>
      </x:c>
      <x:c r="H66" s="13" t="str">
        <x:v>从共享包渲染</x:v>
      </x:c>
      <x:c r="I66" s="13" t="str">
        <x:v>桌面和移动端可操作；正常、空、加载、失败和禁用状态完整；中英文文案可切换。</x:v>
      </x:c>
      <x:c r="J66" s="13" t="str">
        <x:v>P1-SH-003</x:v>
      </x:c>
      <x:c r="K66" s="13" t="str">
        <x:v>待完成</x:v>
      </x:c>
      <x:c r="L66" s="13" t="str">
        <x:v>08-24～08-26</x:v>
      </x:c>
      <x:c r="M66" s="13" t="str">
        <x:v>—</x:v>
      </x:c>
      <x:c r="N66" s="13" t="str">
        <x:v>配置版本、Skill版本、模型名、部署版本、provider request ID和环境标识</x:v>
      </x:c>
      <x:c r="O66" s="13" t="str">
        <x:v>部署/服务 health状态；配置启用/停用；队列消息 queued/processing/DLQ</x:v>
      </x:c>
      <x:c r="P66" s="13" t="str">
        <x:v>配置缺失、密钥无效、限流、部署失败、队列积压、定时任务重复执行</x:v>
      </x:c>
      <x:c r="Q66" s="13" t="str">
        <x:v>环境与密钥隔离；最小权限；生产操作留审计；日志脱敏</x:v>
      </x:c>
      <x:c r="R66" s="13" t="str">
        <x:v>部署可回滚；Worker/清理任务可重入；密钥不入库不导出；日志按合规期限保留</x:v>
      </x:c>
    </x:row>
    <x:row r="67" ht="72" customHeight="1">
      <x:c r="A67" s="13" t="str">
        <x:v>第 1 期</x:v>
      </x:c>
      <x:c r="B67" s="13" t="str">
        <x:v>6. 平台、工程与上线</x:v>
      </x:c>
      <x:c r="C67" s="13" t="str">
        <x:v>P1-FE-008</x:v>
      </x:c>
      <x:c r="D67" s="13" t="str">
        <x:v>创建页 / 6 组 25 项设置</x:v>
      </x:c>
      <x:c r="E67" s="13" t="str">
        <x:v>P1-FE-008-02</x:v>
      </x:c>
      <x:c r="F67" s="13" t="str">
        <x:v>前端</x:v>
      </x:c>
      <x:c r="G67" s="13" t="str">
        <x:v>每组单选</x:v>
      </x:c>
      <x:c r="H67" s="13" t="str">
        <x:v>每组单选</x:v>
      </x:c>
      <x:c r="I67" s="13" t="str">
        <x:v>桌面和移动端可操作；正常、空、加载、失败和禁用状态完整；中英文文案可切换。</x:v>
      </x:c>
      <x:c r="J67" s="13" t="str">
        <x:v>P1-FE-008-01</x:v>
      </x:c>
      <x:c r="K67" s="13" t="str">
        <x:v>待完成</x:v>
      </x:c>
      <x:c r="L67" s="13" t="str">
        <x:v>08-24～08-26</x:v>
      </x:c>
      <x:c r="M67" s="13" t="str">
        <x:v>—</x:v>
      </x:c>
      <x:c r="N67" s="13" t="str">
        <x:v>配置版本、Skill版本、模型名、部署版本、provider request ID和环境标识</x:v>
      </x:c>
      <x:c r="O67" s="13" t="str">
        <x:v>部署/服务 health状态；配置启用/停用；队列消息 queued/processing/DLQ</x:v>
      </x:c>
      <x:c r="P67" s="13" t="str">
        <x:v>配置缺失、密钥无效、限流、部署失败、队列积压、定时任务重复执行</x:v>
      </x:c>
      <x:c r="Q67" s="13" t="str">
        <x:v>环境与密钥隔离；最小权限；生产操作留审计；日志脱敏</x:v>
      </x:c>
      <x:c r="R67" s="13" t="str">
        <x:v>部署可回滚；Worker/清理任务可重入；密钥不入库不导出；日志按合规期限保留</x:v>
      </x:c>
    </x:row>
    <x:row r="68" ht="72" customHeight="1">
      <x:c r="A68" s="13" t="str">
        <x:v>第 1 期</x:v>
      </x:c>
      <x:c r="B68" s="13" t="str">
        <x:v>6. 平台、工程与上线</x:v>
      </x:c>
      <x:c r="C68" s="13" t="str">
        <x:v>P1-FE-008</x:v>
      </x:c>
      <x:c r="D68" s="13" t="str">
        <x:v>创建页 / 6 组 25 项设置</x:v>
      </x:c>
      <x:c r="E68" s="13" t="str">
        <x:v>P1-FE-008-03</x:v>
      </x:c>
      <x:c r="F68" s="13" t="str">
        <x:v>前端</x:v>
      </x:c>
      <x:c r="G68" s="13" t="str">
        <x:v>中英文</x:v>
      </x:c>
      <x:c r="H68" s="13" t="str">
        <x:v>中英文</x:v>
      </x:c>
      <x:c r="I68" s="13" t="str">
        <x:v>桌面和移动端可操作；正常、空、加载、失败和禁用状态完整；中英文文案可切换。</x:v>
      </x:c>
      <x:c r="J68" s="13" t="str">
        <x:v>P1-FE-008-02</x:v>
      </x:c>
      <x:c r="K68" s="13" t="str">
        <x:v>待完成</x:v>
      </x:c>
      <x:c r="L68" s="13" t="str">
        <x:v>08-24～08-26</x:v>
      </x:c>
      <x:c r="M68" s="13" t="str">
        <x:v>—</x:v>
      </x:c>
      <x:c r="N68" s="13" t="str">
        <x:v>配置版本、Skill版本、模型名、部署版本、provider request ID和环境标识</x:v>
      </x:c>
      <x:c r="O68" s="13" t="str">
        <x:v>部署/服务 health状态；配置启用/停用；队列消息 queued/processing/DLQ</x:v>
      </x:c>
      <x:c r="P68" s="13" t="str">
        <x:v>配置缺失、密钥无效、限流、部署失败、队列积压、定时任务重复执行</x:v>
      </x:c>
      <x:c r="Q68" s="13" t="str">
        <x:v>环境与密钥隔离；最小权限；生产操作留审计；日志脱敏</x:v>
      </x:c>
      <x:c r="R68" s="13" t="str">
        <x:v>部署可回滚；Worker/清理任务可重入；密钥不入库不导出；日志按合规期限保留</x:v>
      </x:c>
    </x:row>
    <x:row r="69" ht="72" customHeight="1">
      <x:c r="A69" s="13" t="str">
        <x:v>第 1 期</x:v>
      </x:c>
      <x:c r="B69" s="13" t="str">
        <x:v>6. 平台、工程与上线</x:v>
      </x:c>
      <x:c r="C69" s="13" t="str">
        <x:v>P1-FE-008</x:v>
      </x:c>
      <x:c r="D69" s="13" t="str">
        <x:v>创建页 / 6 组 25 项设置</x:v>
      </x:c>
      <x:c r="E69" s="13" t="str">
        <x:v>P1-FE-008-04</x:v>
      </x:c>
      <x:c r="F69" s="13" t="str">
        <x:v>前端</x:v>
      </x:c>
      <x:c r="G69" s="13" t="str">
        <x:v>设计摘要</x:v>
      </x:c>
      <x:c r="H69" s="13" t="str">
        <x:v>设计摘要</x:v>
      </x:c>
      <x:c r="I69" s="13" t="str">
        <x:v>桌面和移动端可操作；正常、空、加载、失败和禁用状态完整；中英文文案可切换。</x:v>
      </x:c>
      <x:c r="J69" s="13" t="str">
        <x:v>P1-FE-008-03</x:v>
      </x:c>
      <x:c r="K69" s="13" t="str">
        <x:v>待完成</x:v>
      </x:c>
      <x:c r="L69" s="13" t="str">
        <x:v>08-24～08-26</x:v>
      </x:c>
      <x:c r="M69" s="13" t="str">
        <x:v>—</x:v>
      </x:c>
      <x:c r="N69" s="13" t="str">
        <x:v>配置版本、Skill版本、模型名、部署版本、provider request ID和环境标识</x:v>
      </x:c>
      <x:c r="O69" s="13" t="str">
        <x:v>部署/服务 health状态；配置启用/停用；队列消息 queued/processing/DLQ</x:v>
      </x:c>
      <x:c r="P69" s="13" t="str">
        <x:v>配置缺失、密钥无效、限流、部署失败、队列积压、定时任务重复执行</x:v>
      </x:c>
      <x:c r="Q69" s="13" t="str">
        <x:v>环境与密钥隔离；最小权限；生产操作留审计；日志脱敏</x:v>
      </x:c>
      <x:c r="R69" s="13" t="str">
        <x:v>部署可回滚；Worker/清理任务可重入；密钥不入库不导出；日志按合规期限保留</x:v>
      </x:c>
    </x:row>
    <x:row r="70" ht="72" customHeight="1">
      <x:c r="A70" s="13" t="str">
        <x:v>第 1 期</x:v>
      </x:c>
      <x:c r="B70" s="13" t="str">
        <x:v>4. 点数与商业化</x:v>
      </x:c>
      <x:c r="C70" s="13" t="str">
        <x:v>P1-FE-009</x:v>
      </x:c>
      <x:c r="D70" s="13" t="str">
        <x:v>创建页 / 尺寸、费用和提交</x:v>
      </x:c>
      <x:c r="E70" s="13" t="str">
        <x:v>P1-FE-009-01</x:v>
      </x:c>
      <x:c r="F70" s="13" t="str">
        <x:v>前端</x:v>
      </x:c>
      <x:c r="G70" s="13" t="str">
        <x:v>尺寸、费用和提交：10 个尺寸</x:v>
      </x:c>
      <x:c r="H70" s="13" t="str">
        <x:v>尺寸、费用和提交：10 个尺寸</x:v>
      </x:c>
      <x:c r="I70" s="13" t="str">
        <x:v>桌面和移动端可操作；正常、空、加载、失败和禁用状态完整；中英文文案可切换。</x:v>
      </x:c>
      <x:c r="J70" s="13" t="str">
        <x:v>P1-BE-008,P1-BE-009</x:v>
      </x:c>
      <x:c r="K70" s="13" t="str">
        <x:v>待完成</x:v>
      </x:c>
      <x:c r="L70" s="13" t="str">
        <x:v>08-25～08-27</x:v>
      </x:c>
      <x:c r="M70" s="13" t="str">
        <x:v>—</x:v>
      </x:c>
      <x:c r="N70" s="13" t="str">
        <x:v>order id(UUID)+order_number(后端生成)；ledger_id(UUID)；Stripe session/payment/event ID；package/pricing version</x:v>
      </x:c>
      <x:c r="O70" s="13" t="str">
        <x:v>order: pending/paid/canceled/expired/failed/refunded；账本记录不可变，余额为快照</x:v>
      </x:c>
      <x:c r="P70" s="13" t="str">
        <x:v>套餐停用/改价、重复点击、Checkout失败、Webhook重复/乱序/伪造、金额币种不一致、退款争议</x:v>
      </x:c>
      <x:c r="Q70" s="13" t="str">
        <x:v>用户只读本人订单/账本；只有验签Webhook可入账；管理员调点需授权和审计</x:v>
      </x:c>
      <x:c r="R70" s="13" t="str">
        <x:v>(user_id,idempotency_key)防重复下单；Event ID去重；订单行锁原子入账；订单/账本进入个人数据导出</x:v>
      </x:c>
    </x:row>
    <x:row r="71" ht="72" customHeight="1">
      <x:c r="A71" s="13" t="str">
        <x:v>第 1 期</x:v>
      </x:c>
      <x:c r="B71" s="13" t="str">
        <x:v>4. 点数与商业化</x:v>
      </x:c>
      <x:c r="C71" s="13" t="str">
        <x:v>P1-FE-009</x:v>
      </x:c>
      <x:c r="D71" s="13" t="str">
        <x:v>创建页 / 尺寸、费用和提交</x:v>
      </x:c>
      <x:c r="E71" s="13" t="str">
        <x:v>P1-FE-009-02</x:v>
      </x:c>
      <x:c r="F71" s="13" t="str">
        <x:v>前端</x:v>
      </x:c>
      <x:c r="G71" s="13" t="str">
        <x:v>尺寸、费用和提交：预计点数</x:v>
      </x:c>
      <x:c r="H71" s="13" t="str">
        <x:v>尺寸、费用和提交：预计点数</x:v>
      </x:c>
      <x:c r="I71" s="13" t="str">
        <x:v>桌面和移动端可操作；正常、空、加载、失败和禁用状态完整；中英文文案可切换。</x:v>
      </x:c>
      <x:c r="J71" s="13" t="str">
        <x:v>P1-FE-009-01</x:v>
      </x:c>
      <x:c r="K71" s="13" t="str">
        <x:v>待完成</x:v>
      </x:c>
      <x:c r="L71" s="13" t="str">
        <x:v>08-25～08-27</x:v>
      </x:c>
      <x:c r="M71" s="13" t="str">
        <x:v>—</x:v>
      </x:c>
      <x:c r="N71" s="13" t="str">
        <x:v>order id(UUID)+order_number(后端生成)；ledger_id(UUID)；Stripe session/payment/event ID；package/pricing version</x:v>
      </x:c>
      <x:c r="O71" s="13" t="str">
        <x:v>order: pending/paid/canceled/expired/failed/refunded；账本记录不可变，余额为快照</x:v>
      </x:c>
      <x:c r="P71" s="13" t="str">
        <x:v>套餐停用/改价、重复点击、Checkout失败、Webhook重复/乱序/伪造、金额币种不一致、退款争议</x:v>
      </x:c>
      <x:c r="Q71" s="13" t="str">
        <x:v>用户只读本人订单/账本；只有验签Webhook可入账；管理员调点需授权和审计</x:v>
      </x:c>
      <x:c r="R71" s="13" t="str">
        <x:v>(user_id,idempotency_key)防重复下单；Event ID去重；订单行锁原子入账；订单/账本进入个人数据导出</x:v>
      </x:c>
    </x:row>
    <x:row r="72" ht="72" customHeight="1">
      <x:c r="A72" s="13" t="str">
        <x:v>第 1 期</x:v>
      </x:c>
      <x:c r="B72" s="13" t="str">
        <x:v>4. 点数与商业化</x:v>
      </x:c>
      <x:c r="C72" s="13" t="str">
        <x:v>P1-FE-009</x:v>
      </x:c>
      <x:c r="D72" s="13" t="str">
        <x:v>创建页 / 尺寸、费用和提交</x:v>
      </x:c>
      <x:c r="E72" s="13" t="str">
        <x:v>P1-FE-009-03</x:v>
      </x:c>
      <x:c r="F72" s="13" t="str">
        <x:v>前端</x:v>
      </x:c>
      <x:c r="G72" s="13" t="str">
        <x:v>尺寸、费用和提交：校验</x:v>
      </x:c>
      <x:c r="H72" s="13" t="str">
        <x:v>尺寸、费用和提交：校验</x:v>
      </x:c>
      <x:c r="I72" s="13" t="str">
        <x:v>桌面和移动端可操作；正常、空、加载、失败和禁用状态完整；中英文文案可切换。</x:v>
      </x:c>
      <x:c r="J72" s="13" t="str">
        <x:v>P1-FE-009-02</x:v>
      </x:c>
      <x:c r="K72" s="13" t="str">
        <x:v>待完成</x:v>
      </x:c>
      <x:c r="L72" s="13" t="str">
        <x:v>08-25～08-27</x:v>
      </x:c>
      <x:c r="M72" s="13" t="str">
        <x:v>—</x:v>
      </x:c>
      <x:c r="N72" s="13" t="str">
        <x:v>order id(UUID)+order_number(后端生成)；ledger_id(UUID)；Stripe session/payment/event ID；package/pricing version</x:v>
      </x:c>
      <x:c r="O72" s="13" t="str">
        <x:v>order: pending/paid/canceled/expired/failed/refunded；账本记录不可变，余额为快照</x:v>
      </x:c>
      <x:c r="P72" s="13" t="str">
        <x:v>套餐停用/改价、重复点击、Checkout失败、Webhook重复/乱序/伪造、金额币种不一致、退款争议</x:v>
      </x:c>
      <x:c r="Q72" s="13" t="str">
        <x:v>用户只读本人订单/账本；只有验签Webhook可入账；管理员调点需授权和审计</x:v>
      </x:c>
      <x:c r="R72" s="13" t="str">
        <x:v>(user_id,idempotency_key)防重复下单；Event ID去重；订单行锁原子入账；订单/账本进入个人数据导出</x:v>
      </x:c>
    </x:row>
    <x:row r="73" ht="72" customHeight="1">
      <x:c r="A73" s="13" t="str">
        <x:v>第 1 期</x:v>
      </x:c>
      <x:c r="B73" s="13" t="str">
        <x:v>4. 点数与商业化</x:v>
      </x:c>
      <x:c r="C73" s="13" t="str">
        <x:v>P1-FE-009</x:v>
      </x:c>
      <x:c r="D73" s="13" t="str">
        <x:v>创建页 / 尺寸、费用和提交</x:v>
      </x:c>
      <x:c r="E73" s="13" t="str">
        <x:v>P1-FE-009-04</x:v>
      </x:c>
      <x:c r="F73" s="13" t="str">
        <x:v>前端</x:v>
      </x:c>
      <x:c r="G73" s="13" t="str">
        <x:v>尺寸、费用和提交：幂等键</x:v>
      </x:c>
      <x:c r="H73" s="13" t="str">
        <x:v>尺寸、费用和提交：幂等键</x:v>
      </x:c>
      <x:c r="I73" s="13" t="str">
        <x:v>重复与并发请求不重复创建、扣点或入账；任一步失败可回滚并可安全重试。</x:v>
      </x:c>
      <x:c r="J73" s="13" t="str">
        <x:v>P1-FE-009-03</x:v>
      </x:c>
      <x:c r="K73" s="13" t="str">
        <x:v>待完成</x:v>
      </x:c>
      <x:c r="L73" s="13" t="str">
        <x:v>08-25～08-27</x:v>
      </x:c>
      <x:c r="M73" s="13" t="str">
        <x:v>—</x:v>
      </x:c>
      <x:c r="N73" s="13" t="str">
        <x:v>order id(UUID)+order_number(后端生成)；ledger_id(UUID)；Stripe session/payment/event ID；package/pricing version</x:v>
      </x:c>
      <x:c r="O73" s="13" t="str">
        <x:v>order: pending/paid/canceled/expired/failed/refunded；账本记录不可变，余额为快照</x:v>
      </x:c>
      <x:c r="P73" s="13" t="str">
        <x:v>套餐停用/改价、重复点击、Checkout失败、Webhook重复/乱序/伪造、金额币种不一致、退款争议</x:v>
      </x:c>
      <x:c r="Q73" s="13" t="str">
        <x:v>用户只读本人订单/账本；只有验签Webhook可入账；管理员调点需授权和审计</x:v>
      </x:c>
      <x:c r="R73" s="13" t="str">
        <x:v>(user_id,idempotency_key)防重复下单；Event ID去重；订单行锁原子入账；订单/账本进入个人数据导出</x:v>
      </x:c>
    </x:row>
    <x:row r="74" ht="72" customHeight="1">
      <x:c r="A74" s="13" t="str">
        <x:v>第 1 期</x:v>
      </x:c>
      <x:c r="B74" s="13" t="str">
        <x:v>4. 点数与商业化</x:v>
      </x:c>
      <x:c r="C74" s="13" t="str">
        <x:v>P1-FE-009</x:v>
      </x:c>
      <x:c r="D74" s="13" t="str">
        <x:v>创建页 / 尺寸、费用和提交</x:v>
      </x:c>
      <x:c r="E74" s="13" t="str">
        <x:v>P1-FE-009-05</x:v>
      </x:c>
      <x:c r="F74" s="13" t="str">
        <x:v>前端</x:v>
      </x:c>
      <x:c r="G74" s="13" t="str">
        <x:v>尺寸、费用和提交：点数不足和活动任务处理</x:v>
      </x:c>
      <x:c r="H74" s="13" t="str">
        <x:v>尺寸、费用和提交：点数不足和活动任务处理</x:v>
      </x:c>
      <x:c r="I74" s="13" t="str">
        <x:v>桌面和移动端可操作；正常、空、加载、失败和禁用状态完整；中英文文案可切换。</x:v>
      </x:c>
      <x:c r="J74" s="13" t="str">
        <x:v>P1-FE-009-04</x:v>
      </x:c>
      <x:c r="K74" s="13" t="str">
        <x:v>待完成</x:v>
      </x:c>
      <x:c r="L74" s="13" t="str">
        <x:v>08-25～08-27</x:v>
      </x:c>
      <x:c r="M74" s="13" t="str">
        <x:v>—</x:v>
      </x:c>
      <x:c r="N74" s="13" t="str">
        <x:v>order id(UUID)+order_number(后端生成)；ledger_id(UUID)；Stripe session/payment/event ID；package/pricing version</x:v>
      </x:c>
      <x:c r="O74" s="13" t="str">
        <x:v>order: pending/paid/canceled/expired/failed/refunded；账本记录不可变，余额为快照</x:v>
      </x:c>
      <x:c r="P74" s="13" t="str">
        <x:v>套餐停用/改价、重复点击、Checkout失败、Webhook重复/乱序/伪造、金额币种不一致、退款争议</x:v>
      </x:c>
      <x:c r="Q74" s="13" t="str">
        <x:v>用户只读本人订单/账本；只有验签Webhook可入账；管理员调点需授权和审计</x:v>
      </x:c>
      <x:c r="R74" s="13" t="str">
        <x:v>(user_id,idempotency_key)防重复下单；Event ID去重；订单行锁原子入账；订单/账本进入个人数据导出</x:v>
      </x:c>
    </x:row>
    <x:row r="75" ht="72" customHeight="1">
      <x:c r="A75" s="13" t="str">
        <x:v>第 1 期</x:v>
      </x:c>
      <x:c r="B75" s="13" t="str">
        <x:v>2. 图标设计与生成</x:v>
      </x:c>
      <x:c r="C75" s="13" t="str">
        <x:v>P1-FE-010</x:v>
      </x:c>
      <x:c r="D75" s="13" t="str">
        <x:v>结果页 / Mock 进度与分组结果</x:v>
      </x:c>
      <x:c r="E75" s="13" t="str">
        <x:v>P1-FE-010-01</x:v>
      </x:c>
      <x:c r="F75" s="13" t="str">
        <x:v>前端</x:v>
      </x:c>
      <x:c r="G75" s="13" t="str">
        <x:v>轮询</x:v>
      </x:c>
      <x:c r="H75" s="13" t="str">
        <x:v>轮询</x:v>
      </x:c>
      <x:c r="I75" s="13" t="str">
        <x:v>桌面和移动端可操作；正常、空、加载、失败和禁用状态完整；中英文文案可切换。</x:v>
      </x:c>
      <x:c r="J75" s="13" t="str">
        <x:v>P1-BE-012,P1-BE-013</x:v>
      </x:c>
      <x:c r="K75" s="13" t="str">
        <x:v>待完成</x:v>
      </x:c>
      <x:c r="L75" s="13" t="str">
        <x:v>08-26～08-28</x:v>
      </x:c>
      <x:c r="M75" s="13" t="str">
        <x:v>—</x:v>
      </x:c>
      <x:c r="N75" s="13" t="str">
        <x:v>job_id、subject_id、variant_id、asset_id 均为UUID；创建请求另带 idempotency_key；记录 settings/skill/model 版本</x:v>
      </x:c>
      <x:c r="O75" s="13" t="str">
        <x:v>job: queued/processing/completed/partial/failed；variant: queued/processing/completed/failed</x:v>
      </x:c>
      <x:c r="P75" s="13" t="str">
        <x:v>1–20主体、每主体3方案、余额不足、内容拦截、模型超时、部分成功、刷新恢复</x:v>
      </x:c>
      <x:c r="Q75" s="13" t="str">
        <x:v>仅本人查看任务与结果；Worker 使用服务端权限；平台API Key不下发前端</x:v>
      </x:c>
      <x:c r="R75" s="13" t="str">
        <x:v>创建+扣点同事务；每用户1个活动任务；队列重投跳过已完成variant；图片保留30天</x:v>
      </x:c>
    </x:row>
    <x:row r="76" ht="72" customHeight="1">
      <x:c r="A76" s="13" t="str">
        <x:v>第 1 期</x:v>
      </x:c>
      <x:c r="B76" s="13" t="str">
        <x:v>2. 图标设计与生成</x:v>
      </x:c>
      <x:c r="C76" s="13" t="str">
        <x:v>P1-FE-010</x:v>
      </x:c>
      <x:c r="D76" s="13" t="str">
        <x:v>结果页 / Mock 进度与分组结果</x:v>
      </x:c>
      <x:c r="E76" s="13" t="str">
        <x:v>P1-FE-010-02</x:v>
      </x:c>
      <x:c r="F76" s="13" t="str">
        <x:v>前端</x:v>
      </x:c>
      <x:c r="G76" s="13" t="str">
        <x:v>百分比</x:v>
      </x:c>
      <x:c r="H76" s="13" t="str">
        <x:v>百分比</x:v>
      </x:c>
      <x:c r="I76" s="13" t="str">
        <x:v>桌面和移动端可操作；正常、空、加载、失败和禁用状态完整；中英文文案可切换。</x:v>
      </x:c>
      <x:c r="J76" s="13" t="str">
        <x:v>P1-FE-010-01</x:v>
      </x:c>
      <x:c r="K76" s="13" t="str">
        <x:v>待完成</x:v>
      </x:c>
      <x:c r="L76" s="13" t="str">
        <x:v>08-26～08-28</x:v>
      </x:c>
      <x:c r="M76" s="13" t="str">
        <x:v>—</x:v>
      </x:c>
      <x:c r="N76" s="13" t="str">
        <x:v>job_id、subject_id、variant_id、asset_id 均为UUID；创建请求另带 idempotency_key；记录 settings/skill/model 版本</x:v>
      </x:c>
      <x:c r="O76" s="13" t="str">
        <x:v>job: queued/processing/completed/partial/failed；variant: queued/processing/completed/failed</x:v>
      </x:c>
      <x:c r="P76" s="13" t="str">
        <x:v>1–20主体、每主体3方案、余额不足、内容拦截、模型超时、部分成功、刷新恢复</x:v>
      </x:c>
      <x:c r="Q76" s="13" t="str">
        <x:v>仅本人查看任务与结果；Worker 使用服务端权限；平台API Key不下发前端</x:v>
      </x:c>
      <x:c r="R76" s="13" t="str">
        <x:v>创建+扣点同事务；每用户1个活动任务；队列重投跳过已完成variant；图片保留30天</x:v>
      </x:c>
    </x:row>
    <x:row r="77" ht="72" customHeight="1">
      <x:c r="A77" s="13" t="str">
        <x:v>第 1 期</x:v>
      </x:c>
      <x:c r="B77" s="13" t="str">
        <x:v>2. 图标设计与生成</x:v>
      </x:c>
      <x:c r="C77" s="13" t="str">
        <x:v>P1-FE-010</x:v>
      </x:c>
      <x:c r="D77" s="13" t="str">
        <x:v>结果页 / Mock 进度与分组结果</x:v>
      </x:c>
      <x:c r="E77" s="13" t="str">
        <x:v>P1-FE-010-03</x:v>
      </x:c>
      <x:c r="F77" s="13" t="str">
        <x:v>前端</x:v>
      </x:c>
      <x:c r="G77" s="13" t="str">
        <x:v>每主体一行</x:v>
      </x:c>
      <x:c r="H77" s="13" t="str">
        <x:v>每主体一行</x:v>
      </x:c>
      <x:c r="I77" s="13" t="str">
        <x:v>桌面和移动端可操作；正常、空、加载、失败和禁用状态完整；中英文文案可切换。</x:v>
      </x:c>
      <x:c r="J77" s="13" t="str">
        <x:v>P1-FE-010-02</x:v>
      </x:c>
      <x:c r="K77" s="13" t="str">
        <x:v>待完成</x:v>
      </x:c>
      <x:c r="L77" s="13" t="str">
        <x:v>08-26～08-28</x:v>
      </x:c>
      <x:c r="M77" s="13" t="str">
        <x:v>—</x:v>
      </x:c>
      <x:c r="N77" s="13" t="str">
        <x:v>job_id、subject_id、variant_id、asset_id 均为UUID；创建请求另带 idempotency_key；记录 settings/skill/model 版本</x:v>
      </x:c>
      <x:c r="O77" s="13" t="str">
        <x:v>job: queued/processing/completed/partial/failed；variant: queued/processing/completed/failed</x:v>
      </x:c>
      <x:c r="P77" s="13" t="str">
        <x:v>1–20主体、每主体3方案、余额不足、内容拦截、模型超时、部分成功、刷新恢复</x:v>
      </x:c>
      <x:c r="Q77" s="13" t="str">
        <x:v>仅本人查看任务与结果；Worker 使用服务端权限；平台API Key不下发前端</x:v>
      </x:c>
      <x:c r="R77" s="13" t="str">
        <x:v>创建+扣点同事务；每用户1个活动任务；队列重投跳过已完成variant；图片保留30天</x:v>
      </x:c>
    </x:row>
    <x:row r="78" ht="72" customHeight="1">
      <x:c r="A78" s="13" t="str">
        <x:v>第 1 期</x:v>
      </x:c>
      <x:c r="B78" s="13" t="str">
        <x:v>2. 图标设计与生成</x:v>
      </x:c>
      <x:c r="C78" s="13" t="str">
        <x:v>P1-FE-010</x:v>
      </x:c>
      <x:c r="D78" s="13" t="str">
        <x:v>结果页 / Mock 进度与分组结果</x:v>
      </x:c>
      <x:c r="E78" s="13" t="str">
        <x:v>P1-FE-010-04</x:v>
      </x:c>
      <x:c r="F78" s="13" t="str">
        <x:v>前端</x:v>
      </x:c>
      <x:c r="G78" s="13" t="str">
        <x:v>每行 3 方案</x:v>
      </x:c>
      <x:c r="H78" s="13" t="str">
        <x:v>每行 3 方案</x:v>
      </x:c>
      <x:c r="I78" s="13" t="str">
        <x:v>桌面和移动端可操作；正常、空、加载、失败和禁用状态完整；中英文文案可切换。</x:v>
      </x:c>
      <x:c r="J78" s="13" t="str">
        <x:v>P1-FE-010-03</x:v>
      </x:c>
      <x:c r="K78" s="13" t="str">
        <x:v>待完成</x:v>
      </x:c>
      <x:c r="L78" s="13" t="str">
        <x:v>08-26～08-28</x:v>
      </x:c>
      <x:c r="M78" s="13" t="str">
        <x:v>—</x:v>
      </x:c>
      <x:c r="N78" s="13" t="str">
        <x:v>job_id、subject_id、variant_id、asset_id 均为UUID；创建请求另带 idempotency_key；记录 settings/skill/model 版本</x:v>
      </x:c>
      <x:c r="O78" s="13" t="str">
        <x:v>job: queued/processing/completed/partial/failed；variant: queued/processing/completed/failed</x:v>
      </x:c>
      <x:c r="P78" s="13" t="str">
        <x:v>1–20主体、每主体3方案、余额不足、内容拦截、模型超时、部分成功、刷新恢复</x:v>
      </x:c>
      <x:c r="Q78" s="13" t="str">
        <x:v>仅本人查看任务与结果；Worker 使用服务端权限；平台API Key不下发前端</x:v>
      </x:c>
      <x:c r="R78" s="13" t="str">
        <x:v>创建+扣点同事务；每用户1个活动任务；队列重投跳过已完成variant；图片保留30天</x:v>
      </x:c>
    </x:row>
    <x:row r="79" ht="72" customHeight="1">
      <x:c r="A79" s="13" t="str">
        <x:v>第 1 期</x:v>
      </x:c>
      <x:c r="B79" s="13" t="str">
        <x:v>2. 图标设计与生成</x:v>
      </x:c>
      <x:c r="C79" s="13" t="str">
        <x:v>P1-FE-010</x:v>
      </x:c>
      <x:c r="D79" s="13" t="str">
        <x:v>结果页 / Mock 进度与分组结果</x:v>
      </x:c>
      <x:c r="E79" s="13" t="str">
        <x:v>P1-FE-010-05</x:v>
      </x:c>
      <x:c r="F79" s="13" t="str">
        <x:v>前端</x:v>
      </x:c>
      <x:c r="G79" s="13" t="str">
        <x:v>刷新恢复</x:v>
      </x:c>
      <x:c r="H79" s="13" t="str">
        <x:v>刷新恢复</x:v>
      </x:c>
      <x:c r="I79" s="13" t="str">
        <x:v>桌面和移动端可操作；正常、空、加载、失败和禁用状态完整；中英文文案可切换。</x:v>
      </x:c>
      <x:c r="J79" s="13" t="str">
        <x:v>P1-FE-010-04</x:v>
      </x:c>
      <x:c r="K79" s="13" t="str">
        <x:v>待完成</x:v>
      </x:c>
      <x:c r="L79" s="13" t="str">
        <x:v>08-26～08-28</x:v>
      </x:c>
      <x:c r="M79" s="13" t="str">
        <x:v>—</x:v>
      </x:c>
      <x:c r="N79" s="13" t="str">
        <x:v>job_id、subject_id、variant_id、asset_id 均为UUID；创建请求另带 idempotency_key；记录 settings/skill/model 版本</x:v>
      </x:c>
      <x:c r="O79" s="13" t="str">
        <x:v>job: queued/processing/completed/partial/failed；variant: queued/processing/completed/failed</x:v>
      </x:c>
      <x:c r="P79" s="13" t="str">
        <x:v>1–20主体、每主体3方案、余额不足、内容拦截、模型超时、部分成功、刷新恢复</x:v>
      </x:c>
      <x:c r="Q79" s="13" t="str">
        <x:v>仅本人查看任务与结果；Worker 使用服务端权限；平台API Key不下发前端</x:v>
      </x:c>
      <x:c r="R79" s="13" t="str">
        <x:v>创建+扣点同事务；每用户1个活动任务；队列重投跳过已完成variant；图片保留30天</x:v>
      </x:c>
    </x:row>
    <x:row r="80" ht="72" customHeight="1">
      <x:c r="A80" s="13" t="str">
        <x:v>第 1 期</x:v>
      </x:c>
      <x:c r="B80" s="13" t="str">
        <x:v>1. 用户、登录与账户</x:v>
      </x:c>
      <x:c r="C80" s="13" t="str">
        <x:v>P1-FE-011</x:v>
      </x:c>
      <x:c r="D80" s="13" t="str">
        <x:v>认证 / 补齐认证页面</x:v>
      </x:c>
      <x:c r="E80" s="13" t="str">
        <x:v>P1-FE-011-01</x:v>
      </x:c>
      <x:c r="F80" s="13" t="str">
        <x:v>前端</x:v>
      </x:c>
      <x:c r="G80" s="13" t="str">
        <x:v>补齐认证页面：注册</x:v>
      </x:c>
      <x:c r="H80" s="13" t="str">
        <x:v>补齐认证页面：注册</x:v>
      </x:c>
      <x:c r="I80" s="13" t="str">
        <x:v>桌面和移动端可操作；正常、空、加载、失败和禁用状态完整；中英文文案可切换。</x:v>
      </x:c>
      <x:c r="J80" s="13" t="str">
        <x:v>—</x:v>
      </x:c>
      <x:c r="K80" s="13" t="str">
        <x:v>待完成</x:v>
      </x:c>
      <x:c r="L80" s="13" t="str">
        <x:v>08-27～08-28</x:v>
      </x:c>
      <x:c r="M80" s="13" t="str">
        <x:v>—</x:v>
      </x:c>
      <x:c r="N80" s="13" t="str">
        <x:v>用户 user_id(UUID)；删除申请 deletion_request_id(UUID)；数据导出 export_id(UUID)；邮箱仅作登录标识</x:v>
      </x:c>
      <x:c r="O80" s="13" t="str">
        <x:v>unverified → active → deletion_pending → deleted；导出 queued/processing/ready/failed/expired</x:v>
      </x:c>
      <x:c r="P80" s="13" t="str">
        <x:v>重复注册、未验证、会话过期、活动生成任务阻止删除、导出过期或失败可重试</x:v>
      </x:c>
      <x:c r="Q80" s="13" t="str">
        <x:v>仅本人读写账户；高风险操作重新认证；Service Role 仅后端持有</x:v>
      </x:c>
      <x:c r="R80" s="13" t="str">
        <x:v>账户初始化/6点赠送/删除申请/导出创建均有稳定幂等键；删除宽限30天，导出ZIP 24小时</x:v>
      </x:c>
    </x:row>
    <x:row r="81" ht="72" customHeight="1">
      <x:c r="A81" s="13" t="str">
        <x:v>第 1 期</x:v>
      </x:c>
      <x:c r="B81" s="13" t="str">
        <x:v>1. 用户、登录与账户</x:v>
      </x:c>
      <x:c r="C81" s="13" t="str">
        <x:v>P1-FE-011</x:v>
      </x:c>
      <x:c r="D81" s="13" t="str">
        <x:v>认证 / 补齐认证页面</x:v>
      </x:c>
      <x:c r="E81" s="13" t="str">
        <x:v>P1-FE-011-02</x:v>
      </x:c>
      <x:c r="F81" s="13" t="str">
        <x:v>前端</x:v>
      </x:c>
      <x:c r="G81" s="13" t="str">
        <x:v>补齐认证页面：邮箱验证提示</x:v>
      </x:c>
      <x:c r="H81" s="13" t="str">
        <x:v>补齐认证页面：邮箱验证提示</x:v>
      </x:c>
      <x:c r="I81" s="13" t="str">
        <x:v>桌面和移动端可操作；正常、空、加载、失败和禁用状态完整；中英文文案可切换。</x:v>
      </x:c>
      <x:c r="J81" s="13" t="str">
        <x:v>P1-FE-011-01</x:v>
      </x:c>
      <x:c r="K81" s="13" t="str">
        <x:v>待完成</x:v>
      </x:c>
      <x:c r="L81" s="13" t="str">
        <x:v>08-27～08-28</x:v>
      </x:c>
      <x:c r="M81" s="13" t="str">
        <x:v>—</x:v>
      </x:c>
      <x:c r="N81" s="13" t="str">
        <x:v>用户 user_id(UUID)；删除申请 deletion_request_id(UUID)；数据导出 export_id(UUID)；邮箱仅作登录标识</x:v>
      </x:c>
      <x:c r="O81" s="13" t="str">
        <x:v>unverified → active → deletion_pending → deleted；导出 queued/processing/ready/failed/expired</x:v>
      </x:c>
      <x:c r="P81" s="13" t="str">
        <x:v>重复注册、未验证、会话过期、活动生成任务阻止删除、导出过期或失败可重试</x:v>
      </x:c>
      <x:c r="Q81" s="13" t="str">
        <x:v>仅本人读写账户；高风险操作重新认证；Service Role 仅后端持有</x:v>
      </x:c>
      <x:c r="R81" s="13" t="str">
        <x:v>账户初始化/6点赠送/删除申请/导出创建均有稳定幂等键；删除宽限30天，导出ZIP 24小时</x:v>
      </x:c>
    </x:row>
    <x:row r="82" ht="72" customHeight="1">
      <x:c r="A82" s="13" t="str">
        <x:v>第 1 期</x:v>
      </x:c>
      <x:c r="B82" s="13" t="str">
        <x:v>1. 用户、登录与账户</x:v>
      </x:c>
      <x:c r="C82" s="13" t="str">
        <x:v>P1-FE-011</x:v>
      </x:c>
      <x:c r="D82" s="13" t="str">
        <x:v>认证 / 补齐认证页面</x:v>
      </x:c>
      <x:c r="E82" s="13" t="str">
        <x:v>P1-FE-011-03</x:v>
      </x:c>
      <x:c r="F82" s="13" t="str">
        <x:v>前端</x:v>
      </x:c>
      <x:c r="G82" s="13" t="str">
        <x:v>补齐认证页面：忘记密码</x:v>
      </x:c>
      <x:c r="H82" s="13" t="str">
        <x:v>补齐认证页面：忘记密码</x:v>
      </x:c>
      <x:c r="I82" s="13" t="str">
        <x:v>桌面和移动端可操作；正常、空、加载、失败和禁用状态完整；中英文文案可切换。</x:v>
      </x:c>
      <x:c r="J82" s="13" t="str">
        <x:v>P1-FE-011-02</x:v>
      </x:c>
      <x:c r="K82" s="13" t="str">
        <x:v>待完成</x:v>
      </x:c>
      <x:c r="L82" s="13" t="str">
        <x:v>08-27～08-28</x:v>
      </x:c>
      <x:c r="M82" s="13" t="str">
        <x:v>—</x:v>
      </x:c>
      <x:c r="N82" s="13" t="str">
        <x:v>用户 user_id(UUID)；删除申请 deletion_request_id(UUID)；数据导出 export_id(UUID)；邮箱仅作登录标识</x:v>
      </x:c>
      <x:c r="O82" s="13" t="str">
        <x:v>unverified → active → deletion_pending → deleted；导出 queued/processing/ready/failed/expired</x:v>
      </x:c>
      <x:c r="P82" s="13" t="str">
        <x:v>重复注册、未验证、会话过期、活动生成任务阻止删除、导出过期或失败可重试</x:v>
      </x:c>
      <x:c r="Q82" s="13" t="str">
        <x:v>仅本人读写账户；高风险操作重新认证；Service Role 仅后端持有</x:v>
      </x:c>
      <x:c r="R82" s="13" t="str">
        <x:v>账户初始化/6点赠送/删除申请/导出创建均有稳定幂等键；删除宽限30天，导出ZIP 24小时</x:v>
      </x:c>
    </x:row>
    <x:row r="83" ht="72" customHeight="1">
      <x:c r="A83" s="13" t="str">
        <x:v>第 1 期</x:v>
      </x:c>
      <x:c r="B83" s="13" t="str">
        <x:v>1. 用户、登录与账户</x:v>
      </x:c>
      <x:c r="C83" s="13" t="str">
        <x:v>P1-FE-011</x:v>
      </x:c>
      <x:c r="D83" s="13" t="str">
        <x:v>认证 / 补齐认证页面</x:v>
      </x:c>
      <x:c r="E83" s="13" t="str">
        <x:v>P1-FE-011-04</x:v>
      </x:c>
      <x:c r="F83" s="13" t="str">
        <x:v>前端</x:v>
      </x:c>
      <x:c r="G83" s="13" t="str">
        <x:v>补齐认证页面：重置密码和 Auth 回调页面</x:v>
      </x:c>
      <x:c r="H83" s="13" t="str">
        <x:v>补齐认证页面：重置密码和 Auth 回调页面</x:v>
      </x:c>
      <x:c r="I83" s="13" t="str">
        <x:v>桌面和移动端可操作；正常、空、加载、失败和禁用状态完整；中英文文案可切换。</x:v>
      </x:c>
      <x:c r="J83" s="13" t="str">
        <x:v>P1-FE-011-03</x:v>
      </x:c>
      <x:c r="K83" s="13" t="str">
        <x:v>待完成</x:v>
      </x:c>
      <x:c r="L83" s="13" t="str">
        <x:v>08-27～08-28</x:v>
      </x:c>
      <x:c r="M83" s="13" t="str">
        <x:v>—</x:v>
      </x:c>
      <x:c r="N83" s="13" t="str">
        <x:v>用户 user_id(UUID)；删除申请 deletion_request_id(UUID)；数据导出 export_id(UUID)；邮箱仅作登录标识</x:v>
      </x:c>
      <x:c r="O83" s="13" t="str">
        <x:v>unverified → active → deletion_pending → deleted；导出 queued/processing/ready/failed/expired</x:v>
      </x:c>
      <x:c r="P83" s="13" t="str">
        <x:v>重复注册、未验证、会话过期、活动生成任务阻止删除、导出过期或失败可重试</x:v>
      </x:c>
      <x:c r="Q83" s="13" t="str">
        <x:v>仅本人读写账户；高风险操作重新认证；Service Role 仅后端持有</x:v>
      </x:c>
      <x:c r="R83" s="13" t="str">
        <x:v>账户初始化/6点赠送/删除申请/导出创建均有稳定幂等键；删除宽限30天，导出ZIP 24小时</x:v>
      </x:c>
    </x:row>
    <x:row r="84" ht="72" customHeight="1">
      <x:c r="A84" s="13" t="str">
        <x:v>第 1 期</x:v>
      </x:c>
      <x:c r="B84" s="13" t="str">
        <x:v>6. 平台、工程与上线</x:v>
      </x:c>
      <x:c r="C84" s="13" t="str">
        <x:v>P1-QA-001</x:v>
      </x:c>
      <x:c r="D84" s="13" t="str">
        <x:v>联调 / Mock 端到端闭环</x:v>
      </x:c>
      <x:c r="E84" s="13" t="str">
        <x:v>P1-QA-001-01</x:v>
      </x:c>
      <x:c r="F84" s="13" t="str">
        <x:v>前端（共享任务）</x:v>
      </x:c>
      <x:c r="G84" s="13" t="str">
        <x:v>登录→多主体→扣测试点→Mock×3→结果</x:v>
      </x:c>
      <x:c r="H84" s="13" t="str">
        <x:v>登录→多主体→扣测试点→Mock×3→结果</x:v>
      </x:c>
      <x:c r="I84" s="13" t="str">
        <x:v>桌面和移动端可操作；正常、空、加载、失败和禁用状态完整；中英文文案可切换。</x:v>
      </x:c>
      <x:c r="J84" s="13" t="str">
        <x:v>—</x:v>
      </x:c>
      <x:c r="K84" s="13" t="str">
        <x:v>待完成</x:v>
      </x:c>
      <x:c r="L84" s="13" t="str">
        <x:v>08-29～08-30</x:v>
      </x:c>
      <x:c r="M84" s="13" t="str">
        <x:v>—</x:v>
      </x:c>
      <x:c r="N84" s="13" t="str">
        <x:v>配置版本、Skill版本、模型名、部署版本、provider request ID和环境标识</x:v>
      </x:c>
      <x:c r="O84" s="13" t="str">
        <x:v>部署/服务 health状态；配置启用/停用；队列消息 queued/processing/DLQ</x:v>
      </x:c>
      <x:c r="P84" s="13" t="str">
        <x:v>配置缺失、密钥无效、限流、部署失败、队列积压、定时任务重复执行</x:v>
      </x:c>
      <x:c r="Q84" s="13" t="str">
        <x:v>环境与密钥隔离；最小权限；生产操作留审计；日志脱敏</x:v>
      </x:c>
      <x:c r="R84" s="13" t="str">
        <x:v>部署可回滚；Worker/清理任务可重入；密钥不入库不导出；日志按合规期限保留</x:v>
      </x:c>
    </x:row>
    <x:row r="85" ht="72" customHeight="1">
      <x:c r="A85" s="13" t="str">
        <x:v>第 1 期</x:v>
      </x:c>
      <x:c r="B85" s="13" t="str">
        <x:v>6. 平台、工程与上线</x:v>
      </x:c>
      <x:c r="C85" s="13" t="str">
        <x:v>P1-QA-001</x:v>
      </x:c>
      <x:c r="D85" s="13" t="str">
        <x:v>联调 / Mock 端到端闭环</x:v>
      </x:c>
      <x:c r="E85" s="13" t="str">
        <x:v>P1-QA-001-02</x:v>
      </x:c>
      <x:c r="F85" s="13" t="str">
        <x:v>前端（共享任务）</x:v>
      </x:c>
      <x:c r="G85" s="13" t="str">
        <x:v>断网/刷新/重复提交测试</x:v>
      </x:c>
      <x:c r="H85" s="13" t="str">
        <x:v>断网/刷新/重复提交测试</x:v>
      </x:c>
      <x:c r="I85" s="13" t="str">
        <x:v>重复与并发请求不重复创建、扣点或入账；任一步失败可回滚并可安全重试。</x:v>
      </x:c>
      <x:c r="J85" s="13" t="str">
        <x:v>P1-QA-001-01</x:v>
      </x:c>
      <x:c r="K85" s="13" t="str">
        <x:v>待完成</x:v>
      </x:c>
      <x:c r="L85" s="13" t="str">
        <x:v>08-29～08-30</x:v>
      </x:c>
      <x:c r="M85" s="13" t="str">
        <x:v>—</x:v>
      </x:c>
      <x:c r="N85" s="13" t="str">
        <x:v>配置版本、Skill版本、模型名、部署版本、provider request ID和环境标识</x:v>
      </x:c>
      <x:c r="O85" s="13" t="str">
        <x:v>部署/服务 health状态；配置启用/停用；队列消息 queued/processing/DLQ</x:v>
      </x:c>
      <x:c r="P85" s="13" t="str">
        <x:v>配置缺失、密钥无效、限流、部署失败、队列积压、定时任务重复执行</x:v>
      </x:c>
      <x:c r="Q85" s="13" t="str">
        <x:v>环境与密钥隔离；最小权限；生产操作留审计；日志脱敏</x:v>
      </x:c>
      <x:c r="R85" s="13" t="str">
        <x:v>部署可回滚；Worker/清理任务可重入；密钥不入库不导出；日志按合规期限保留</x:v>
      </x:c>
    </x:row>
    <x:row r="86" ht="72" customHeight="1">
      <x:c r="A86" s="13" t="str">
        <x:v>第 2 期</x:v>
      </x:c>
      <x:c r="B86" s="13" t="str">
        <x:v>2. 图标设计与生成</x:v>
      </x:c>
      <x:c r="C86" s="13" t="str">
        <x:v>P2-FE-001</x:v>
      </x:c>
      <x:c r="D86" s="13" t="str">
        <x:v>结果页 / 真实进度与异常状态</x:v>
      </x:c>
      <x:c r="E86" s="13" t="str">
        <x:v>P2-FE-001-01</x:v>
      </x:c>
      <x:c r="F86" s="13" t="str">
        <x:v>前端</x:v>
      </x:c>
      <x:c r="G86" s="13" t="str">
        <x:v>queued/processing/completed/partial/failed</x:v>
      </x:c>
      <x:c r="H86" s="13" t="str">
        <x:v>queued/processing/completed/partial/failed</x:v>
      </x:c>
      <x:c r="I86" s="13" t="str">
        <x:v>桌面和移动端可操作；正常、空、加载、失败和禁用状态完整；中英文文案可切换。</x:v>
      </x:c>
      <x:c r="J86" s="13" t="str">
        <x:v>P1-BE-013,P2-BE-005</x:v>
      </x:c>
      <x:c r="K86" s="13" t="str">
        <x:v>待完成</x:v>
      </x:c>
      <x:c r="L86" s="13" t="str">
        <x:v>09-03～09-05</x:v>
      </x:c>
      <x:c r="M86" s="13" t="str">
        <x:v>—</x:v>
      </x:c>
      <x:c r="N86" s="13" t="str">
        <x:v>job_id、subject_id、variant_id、asset_id 均为UUID；创建请求另带 idempotency_key；记录 settings/skill/model 版本</x:v>
      </x:c>
      <x:c r="O86" s="13" t="str">
        <x:v>job: queued/processing/completed/partial/failed；variant: queued/processing/completed/failed</x:v>
      </x:c>
      <x:c r="P86" s="13" t="str">
        <x:v>1–20主体、每主体3方案、余额不足、内容拦截、模型超时、部分成功、刷新恢复</x:v>
      </x:c>
      <x:c r="Q86" s="13" t="str">
        <x:v>仅本人查看任务与结果；Worker 使用服务端权限；平台API Key不下发前端</x:v>
      </x:c>
      <x:c r="R86" s="13" t="str">
        <x:v>创建+扣点同事务；每用户1个活动任务；队列重投跳过已完成variant；图片保留30天</x:v>
      </x:c>
    </x:row>
    <x:row r="87" ht="72" customHeight="1">
      <x:c r="A87" s="13" t="str">
        <x:v>第 2 期</x:v>
      </x:c>
      <x:c r="B87" s="13" t="str">
        <x:v>2. 图标设计与生成</x:v>
      </x:c>
      <x:c r="C87" s="13" t="str">
        <x:v>P2-FE-001</x:v>
      </x:c>
      <x:c r="D87" s="13" t="str">
        <x:v>结果页 / 真实进度与异常状态</x:v>
      </x:c>
      <x:c r="E87" s="13" t="str">
        <x:v>P2-FE-001-02</x:v>
      </x:c>
      <x:c r="F87" s="13" t="str">
        <x:v>前端</x:v>
      </x:c>
      <x:c r="G87" s="13" t="str">
        <x:v>退款提示</x:v>
      </x:c>
      <x:c r="H87" s="13" t="str">
        <x:v>退款提示</x:v>
      </x:c>
      <x:c r="I87" s="13" t="str">
        <x:v>桌面和移动端可操作；正常、空、加载、失败和禁用状态完整；中英文文案可切换。</x:v>
      </x:c>
      <x:c r="J87" s="13" t="str">
        <x:v>P2-FE-001-01</x:v>
      </x:c>
      <x:c r="K87" s="13" t="str">
        <x:v>待完成</x:v>
      </x:c>
      <x:c r="L87" s="13" t="str">
        <x:v>09-03～09-05</x:v>
      </x:c>
      <x:c r="M87" s="13" t="str">
        <x:v>—</x:v>
      </x:c>
      <x:c r="N87" s="13" t="str">
        <x:v>job_id、subject_id、variant_id、asset_id 均为UUID；创建请求另带 idempotency_key；记录 settings/skill/model 版本</x:v>
      </x:c>
      <x:c r="O87" s="13" t="str">
        <x:v>job: queued/processing/completed/partial/failed；variant: queued/processing/completed/failed</x:v>
      </x:c>
      <x:c r="P87" s="13" t="str">
        <x:v>1–20主体、每主体3方案、余额不足、内容拦截、模型超时、部分成功、刷新恢复</x:v>
      </x:c>
      <x:c r="Q87" s="13" t="str">
        <x:v>仅本人查看任务与结果；Worker 使用服务端权限；平台API Key不下发前端</x:v>
      </x:c>
      <x:c r="R87" s="13" t="str">
        <x:v>创建+扣点同事务；每用户1个活动任务；队列重投跳过已完成variant；图片保留30天</x:v>
      </x:c>
    </x:row>
    <x:row r="88" ht="72" customHeight="1">
      <x:c r="A88" s="13" t="str">
        <x:v>第 2 期</x:v>
      </x:c>
      <x:c r="B88" s="13" t="str">
        <x:v>2. 图标设计与生成</x:v>
      </x:c>
      <x:c r="C88" s="13" t="str">
        <x:v>P2-FE-001</x:v>
      </x:c>
      <x:c r="D88" s="13" t="str">
        <x:v>结果页 / 真实进度与异常状态</x:v>
      </x:c>
      <x:c r="E88" s="13" t="str">
        <x:v>P2-FE-001-03</x:v>
      </x:c>
      <x:c r="F88" s="13" t="str">
        <x:v>前端</x:v>
      </x:c>
      <x:c r="G88" s="13" t="str">
        <x:v>网络恢复</x:v>
      </x:c>
      <x:c r="H88" s="13" t="str">
        <x:v>网络恢复</x:v>
      </x:c>
      <x:c r="I88" s="13" t="str">
        <x:v>桌面和移动端可操作；正常、空、加载、失败和禁用状态完整；中英文文案可切换。</x:v>
      </x:c>
      <x:c r="J88" s="13" t="str">
        <x:v>P2-FE-001-02</x:v>
      </x:c>
      <x:c r="K88" s="13" t="str">
        <x:v>待完成</x:v>
      </x:c>
      <x:c r="L88" s="13" t="str">
        <x:v>09-03～09-05</x:v>
      </x:c>
      <x:c r="M88" s="13" t="str">
        <x:v>—</x:v>
      </x:c>
      <x:c r="N88" s="13" t="str">
        <x:v>job_id、subject_id、variant_id、asset_id 均为UUID；创建请求另带 idempotency_key；记录 settings/skill/model 版本</x:v>
      </x:c>
      <x:c r="O88" s="13" t="str">
        <x:v>job: queued/processing/completed/partial/failed；variant: queued/processing/completed/failed</x:v>
      </x:c>
      <x:c r="P88" s="13" t="str">
        <x:v>1–20主体、每主体3方案、余额不足、内容拦截、模型超时、部分成功、刷新恢复</x:v>
      </x:c>
      <x:c r="Q88" s="13" t="str">
        <x:v>仅本人查看任务与结果；Worker 使用服务端权限；平台API Key不下发前端</x:v>
      </x:c>
      <x:c r="R88" s="13" t="str">
        <x:v>创建+扣点同事务；每用户1个活动任务；队列重投跳过已完成variant；图片保留30天</x:v>
      </x:c>
    </x:row>
    <x:row r="89" ht="72" customHeight="1">
      <x:c r="A89" s="13" t="str">
        <x:v>第 2 期</x:v>
      </x:c>
      <x:c r="B89" s="13" t="str">
        <x:v>6. 平台、工程与上线</x:v>
      </x:c>
      <x:c r="C89" s="13" t="str">
        <x:v>P2-FE-002</x:v>
      </x:c>
      <x:c r="D89" s="13" t="str">
        <x:v>结果页 / 方案选择与首选</x:v>
      </x:c>
      <x:c r="E89" s="13" t="str">
        <x:v>P2-FE-002-01</x:v>
      </x:c>
      <x:c r="F89" s="13" t="str">
        <x:v>前端</x:v>
      </x:c>
      <x:c r="G89" s="13" t="str">
        <x:v>多选</x:v>
      </x:c>
      <x:c r="H89" s="13" t="str">
        <x:v>多选</x:v>
      </x:c>
      <x:c r="I89" s="13" t="str">
        <x:v>桌面和移动端可操作；正常、空、加载、失败和禁用状态完整；中英文文案可切换。</x:v>
      </x:c>
      <x:c r="J89" s="13" t="str">
        <x:v>P2-FE-001</x:v>
      </x:c>
      <x:c r="K89" s="13" t="str">
        <x:v>待完成</x:v>
      </x:c>
      <x:c r="L89" s="13" t="str">
        <x:v>09-04～09-06</x:v>
      </x:c>
      <x:c r="M89" s="13" t="str">
        <x:v>—</x:v>
      </x:c>
      <x:c r="N89" s="13" t="str">
        <x:v>配置版本、Skill版本、模型名、部署版本、provider request ID和环境标识</x:v>
      </x:c>
      <x:c r="O89" s="13" t="str">
        <x:v>部署/服务 health状态；配置启用/停用；队列消息 queued/processing/DLQ</x:v>
      </x:c>
      <x:c r="P89" s="13" t="str">
        <x:v>配置缺失、密钥无效、限流、部署失败、队列积压、定时任务重复执行</x:v>
      </x:c>
      <x:c r="Q89" s="13" t="str">
        <x:v>环境与密钥隔离；最小权限；生产操作留审计；日志脱敏</x:v>
      </x:c>
      <x:c r="R89" s="13" t="str">
        <x:v>部署可回滚；Worker/清理任务可重入；密钥不入库不导出；日志按合规期限保留</x:v>
      </x:c>
    </x:row>
    <x:row r="90" ht="72" customHeight="1">
      <x:c r="A90" s="13" t="str">
        <x:v>第 2 期</x:v>
      </x:c>
      <x:c r="B90" s="13" t="str">
        <x:v>6. 平台、工程与上线</x:v>
      </x:c>
      <x:c r="C90" s="13" t="str">
        <x:v>P2-FE-002</x:v>
      </x:c>
      <x:c r="D90" s="13" t="str">
        <x:v>结果页 / 方案选择与首选</x:v>
      </x:c>
      <x:c r="E90" s="13" t="str">
        <x:v>P2-FE-002-02</x:v>
      </x:c>
      <x:c r="F90" s="13" t="str">
        <x:v>前端</x:v>
      </x:c>
      <x:c r="G90" s="13" t="str">
        <x:v>同主体可多选</x:v>
      </x:c>
      <x:c r="H90" s="13" t="str">
        <x:v>同主体可多选</x:v>
      </x:c>
      <x:c r="I90" s="13" t="str">
        <x:v>桌面和移动端可操作；正常、空、加载、失败和禁用状态完整；中英文文案可切换。</x:v>
      </x:c>
      <x:c r="J90" s="13" t="str">
        <x:v>P2-FE-002-01</x:v>
      </x:c>
      <x:c r="K90" s="13" t="str">
        <x:v>待完成</x:v>
      </x:c>
      <x:c r="L90" s="13" t="str">
        <x:v>09-04～09-06</x:v>
      </x:c>
      <x:c r="M90" s="13" t="str">
        <x:v>—</x:v>
      </x:c>
      <x:c r="N90" s="13" t="str">
        <x:v>配置版本、Skill版本、模型名、部署版本、provider request ID和环境标识</x:v>
      </x:c>
      <x:c r="O90" s="13" t="str">
        <x:v>部署/服务 health状态；配置启用/停用；队列消息 queued/processing/DLQ</x:v>
      </x:c>
      <x:c r="P90" s="13" t="str">
        <x:v>配置缺失、密钥无效、限流、部署失败、队列积压、定时任务重复执行</x:v>
      </x:c>
      <x:c r="Q90" s="13" t="str">
        <x:v>环境与密钥隔离；最小权限；生产操作留审计；日志脱敏</x:v>
      </x:c>
      <x:c r="R90" s="13" t="str">
        <x:v>部署可回滚；Worker/清理任务可重入；密钥不入库不导出；日志按合规期限保留</x:v>
      </x:c>
    </x:row>
    <x:row r="91" ht="72" customHeight="1">
      <x:c r="A91" s="13" t="str">
        <x:v>第 2 期</x:v>
      </x:c>
      <x:c r="B91" s="13" t="str">
        <x:v>6. 平台、工程与上线</x:v>
      </x:c>
      <x:c r="C91" s="13" t="str">
        <x:v>P2-FE-002</x:v>
      </x:c>
      <x:c r="D91" s="13" t="str">
        <x:v>结果页 / 方案选择与首选</x:v>
      </x:c>
      <x:c r="E91" s="13" t="str">
        <x:v>P2-FE-002-03</x:v>
      </x:c>
      <x:c r="F91" s="13" t="str">
        <x:v>前端</x:v>
      </x:c>
      <x:c r="G91" s="13" t="str">
        <x:v>每主体一个首选</x:v>
      </x:c>
      <x:c r="H91" s="13" t="str">
        <x:v>每主体一个首选</x:v>
      </x:c>
      <x:c r="I91" s="13" t="str">
        <x:v>桌面和移动端可操作；正常、空、加载、失败和禁用状态完整；中英文文案可切换。</x:v>
      </x:c>
      <x:c r="J91" s="13" t="str">
        <x:v>P2-FE-002-02</x:v>
      </x:c>
      <x:c r="K91" s="13" t="str">
        <x:v>待完成</x:v>
      </x:c>
      <x:c r="L91" s="13" t="str">
        <x:v>09-04～09-06</x:v>
      </x:c>
      <x:c r="M91" s="13" t="str">
        <x:v>—</x:v>
      </x:c>
      <x:c r="N91" s="13" t="str">
        <x:v>配置版本、Skill版本、模型名、部署版本、provider request ID和环境标识</x:v>
      </x:c>
      <x:c r="O91" s="13" t="str">
        <x:v>部署/服务 health状态；配置启用/停用；队列消息 queued/processing/DLQ</x:v>
      </x:c>
      <x:c r="P91" s="13" t="str">
        <x:v>配置缺失、密钥无效、限流、部署失败、队列积压、定时任务重复执行</x:v>
      </x:c>
      <x:c r="Q91" s="13" t="str">
        <x:v>环境与密钥隔离；最小权限；生产操作留审计；日志脱敏</x:v>
      </x:c>
      <x:c r="R91" s="13" t="str">
        <x:v>部署可回滚；Worker/清理任务可重入；密钥不入库不导出；日志按合规期限保留</x:v>
      </x:c>
    </x:row>
    <x:row r="92" ht="72" customHeight="1">
      <x:c r="A92" s="13" t="str">
        <x:v>第 2 期</x:v>
      </x:c>
      <x:c r="B92" s="13" t="str">
        <x:v>6. 平台、工程与上线</x:v>
      </x:c>
      <x:c r="C92" s="13" t="str">
        <x:v>P2-FE-002</x:v>
      </x:c>
      <x:c r="D92" s="13" t="str">
        <x:v>结果页 / 方案选择与首选</x:v>
      </x:c>
      <x:c r="E92" s="13" t="str">
        <x:v>P2-FE-002-04</x:v>
      </x:c>
      <x:c r="F92" s="13" t="str">
        <x:v>前端</x:v>
      </x:c>
      <x:c r="G92" s="13" t="str">
        <x:v>服务端持久化</x:v>
      </x:c>
      <x:c r="H92" s="13" t="str">
        <x:v>服务端持久化</x:v>
      </x:c>
      <x:c r="I92" s="13" t="str">
        <x:v>桌面和移动端可操作；正常、空、加载、失败和禁用状态完整；中英文文案可切换。</x:v>
      </x:c>
      <x:c r="J92" s="13" t="str">
        <x:v>P2-FE-002-03</x:v>
      </x:c>
      <x:c r="K92" s="13" t="str">
        <x:v>待完成</x:v>
      </x:c>
      <x:c r="L92" s="13" t="str">
        <x:v>09-04～09-06</x:v>
      </x:c>
      <x:c r="M92" s="13" t="str">
        <x:v>—</x:v>
      </x:c>
      <x:c r="N92" s="13" t="str">
        <x:v>配置版本、Skill版本、模型名、部署版本、provider request ID和环境标识</x:v>
      </x:c>
      <x:c r="O92" s="13" t="str">
        <x:v>部署/服务 health状态；配置启用/停用；队列消息 queued/processing/DLQ</x:v>
      </x:c>
      <x:c r="P92" s="13" t="str">
        <x:v>配置缺失、密钥无效、限流、部署失败、队列积压、定时任务重复执行</x:v>
      </x:c>
      <x:c r="Q92" s="13" t="str">
        <x:v>环境与密钥隔离；最小权限；生产操作留审计；日志脱敏</x:v>
      </x:c>
      <x:c r="R92" s="13" t="str">
        <x:v>部署可回滚；Worker/清理任务可重入；密钥不入库不导出；日志按合规期限保留</x:v>
      </x:c>
    </x:row>
    <x:row r="93" ht="72" customHeight="1">
      <x:c r="A93" s="13" t="str">
        <x:v>第 2 期</x:v>
      </x:c>
      <x:c r="B93" s="13" t="str">
        <x:v>2. 图标设计与生成</x:v>
      </x:c>
      <x:c r="C93" s="13" t="str">
        <x:v>P2-FE-003</x:v>
      </x:c>
      <x:c r="D93" s="13" t="str">
        <x:v>作品 / 我的图标页</x:v>
      </x:c>
      <x:c r="E93" s="13" t="str">
        <x:v>P2-FE-003-01</x:v>
      </x:c>
      <x:c r="F93" s="13" t="str">
        <x:v>前端</x:v>
      </x:c>
      <x:c r="G93" s="13" t="str">
        <x:v>我的图标页：真实任务卡</x:v>
      </x:c>
      <x:c r="H93" s="13" t="str">
        <x:v>我的图标页：真实任务卡</x:v>
      </x:c>
      <x:c r="I93" s="13" t="str">
        <x:v>桌面和移动端可操作；正常、空、加载、失败和禁用状态完整；中英文文案可切换。</x:v>
      </x:c>
      <x:c r="J93" s="13" t="str">
        <x:v>P2-BE-006</x:v>
      </x:c>
      <x:c r="K93" s="13" t="str">
        <x:v>待完成</x:v>
      </x:c>
      <x:c r="L93" s="13" t="str">
        <x:v>09-05～09-07</x:v>
      </x:c>
      <x:c r="M93" s="13" t="str">
        <x:v>—</x:v>
      </x:c>
      <x:c r="N93" s="13" t="str">
        <x:v>job_id、subject_id、variant_id、asset_id 均为UUID；创建请求另带 idempotency_key；记录 settings/skill/model 版本</x:v>
      </x:c>
      <x:c r="O93" s="13" t="str">
        <x:v>job: queued/processing/completed/partial/failed；variant: queued/processing/completed/failed</x:v>
      </x:c>
      <x:c r="P93" s="13" t="str">
        <x:v>1–20主体、每主体3方案、余额不足、内容拦截、模型超时、部分成功、刷新恢复</x:v>
      </x:c>
      <x:c r="Q93" s="13" t="str">
        <x:v>仅本人查看任务与结果；Worker 使用服务端权限；平台API Key不下发前端</x:v>
      </x:c>
      <x:c r="R93" s="13" t="str">
        <x:v>创建+扣点同事务；每用户1个活动任务；队列重投跳过已完成variant；图片保留30天</x:v>
      </x:c>
    </x:row>
    <x:row r="94" ht="72" customHeight="1">
      <x:c r="A94" s="13" t="str">
        <x:v>第 2 期</x:v>
      </x:c>
      <x:c r="B94" s="13" t="str">
        <x:v>2. 图标设计与生成</x:v>
      </x:c>
      <x:c r="C94" s="13" t="str">
        <x:v>P2-FE-003</x:v>
      </x:c>
      <x:c r="D94" s="13" t="str">
        <x:v>作品 / 我的图标页</x:v>
      </x:c>
      <x:c r="E94" s="13" t="str">
        <x:v>P2-FE-003-02</x:v>
      </x:c>
      <x:c r="F94" s="13" t="str">
        <x:v>前端</x:v>
      </x:c>
      <x:c r="G94" s="13" t="str">
        <x:v>我的图标页：缩略图</x:v>
      </x:c>
      <x:c r="H94" s="13" t="str">
        <x:v>我的图标页：缩略图</x:v>
      </x:c>
      <x:c r="I94" s="13" t="str">
        <x:v>桌面和移动端可操作；正常、空、加载、失败和禁用状态完整；中英文文案可切换。</x:v>
      </x:c>
      <x:c r="J94" s="13" t="str">
        <x:v>P2-FE-003-01</x:v>
      </x:c>
      <x:c r="K94" s="13" t="str">
        <x:v>待完成</x:v>
      </x:c>
      <x:c r="L94" s="13" t="str">
        <x:v>09-05～09-07</x:v>
      </x:c>
      <x:c r="M94" s="13" t="str">
        <x:v>—</x:v>
      </x:c>
      <x:c r="N94" s="13" t="str">
        <x:v>job_id、subject_id、variant_id、asset_id 均为UUID；创建请求另带 idempotency_key；记录 settings/skill/model 版本</x:v>
      </x:c>
      <x:c r="O94" s="13" t="str">
        <x:v>job: queued/processing/completed/partial/failed；variant: queued/processing/completed/failed</x:v>
      </x:c>
      <x:c r="P94" s="13" t="str">
        <x:v>1–20主体、每主体3方案、余额不足、内容拦截、模型超时、部分成功、刷新恢复</x:v>
      </x:c>
      <x:c r="Q94" s="13" t="str">
        <x:v>仅本人查看任务与结果；Worker 使用服务端权限；平台API Key不下发前端</x:v>
      </x:c>
      <x:c r="R94" s="13" t="str">
        <x:v>创建+扣点同事务；每用户1个活动任务；队列重投跳过已完成variant；图片保留30天</x:v>
      </x:c>
    </x:row>
    <x:row r="95" ht="72" customHeight="1">
      <x:c r="A95" s="13" t="str">
        <x:v>第 2 期</x:v>
      </x:c>
      <x:c r="B95" s="13" t="str">
        <x:v>2. 图标设计与生成</x:v>
      </x:c>
      <x:c r="C95" s="13" t="str">
        <x:v>P2-FE-003</x:v>
      </x:c>
      <x:c r="D95" s="13" t="str">
        <x:v>作品 / 我的图标页</x:v>
      </x:c>
      <x:c r="E95" s="13" t="str">
        <x:v>P2-FE-003-03</x:v>
      </x:c>
      <x:c r="F95" s="13" t="str">
        <x:v>前端</x:v>
      </x:c>
      <x:c r="G95" s="13" t="str">
        <x:v>我的图标页：状态</x:v>
      </x:c>
      <x:c r="H95" s="13" t="str">
        <x:v>我的图标页：状态</x:v>
      </x:c>
      <x:c r="I95" s="13" t="str">
        <x:v>桌面和移动端可操作；正常、空、加载、失败和禁用状态完整；中英文文案可切换。</x:v>
      </x:c>
      <x:c r="J95" s="13" t="str">
        <x:v>P2-FE-003-02</x:v>
      </x:c>
      <x:c r="K95" s="13" t="str">
        <x:v>待完成</x:v>
      </x:c>
      <x:c r="L95" s="13" t="str">
        <x:v>09-05～09-07</x:v>
      </x:c>
      <x:c r="M95" s="13" t="str">
        <x:v>—</x:v>
      </x:c>
      <x:c r="N95" s="13" t="str">
        <x:v>job_id、subject_id、variant_id、asset_id 均为UUID；创建请求另带 idempotency_key；记录 settings/skill/model 版本</x:v>
      </x:c>
      <x:c r="O95" s="13" t="str">
        <x:v>job: queued/processing/completed/partial/failed；variant: queued/processing/completed/failed</x:v>
      </x:c>
      <x:c r="P95" s="13" t="str">
        <x:v>1–20主体、每主体3方案、余额不足、内容拦截、模型超时、部分成功、刷新恢复</x:v>
      </x:c>
      <x:c r="Q95" s="13" t="str">
        <x:v>仅本人查看任务与结果；Worker 使用服务端权限；平台API Key不下发前端</x:v>
      </x:c>
      <x:c r="R95" s="13" t="str">
        <x:v>创建+扣点同事务；每用户1个活动任务；队列重投跳过已完成variant；图片保留30天</x:v>
      </x:c>
    </x:row>
    <x:row r="96" ht="72" customHeight="1">
      <x:c r="A96" s="13" t="str">
        <x:v>第 2 期</x:v>
      </x:c>
      <x:c r="B96" s="13" t="str">
        <x:v>2. 图标设计与生成</x:v>
      </x:c>
      <x:c r="C96" s="13" t="str">
        <x:v>P2-FE-003</x:v>
      </x:c>
      <x:c r="D96" s="13" t="str">
        <x:v>作品 / 我的图标页</x:v>
      </x:c>
      <x:c r="E96" s="13" t="str">
        <x:v>P2-FE-003-04</x:v>
      </x:c>
      <x:c r="F96" s="13" t="str">
        <x:v>前端</x:v>
      </x:c>
      <x:c r="G96" s="13" t="str">
        <x:v>我的图标页：分页</x:v>
      </x:c>
      <x:c r="H96" s="13" t="str">
        <x:v>我的图标页：分页</x:v>
      </x:c>
      <x:c r="I96" s="13" t="str">
        <x:v>桌面和移动端可操作；正常、空、加载、失败和禁用状态完整；中英文文案可切换。</x:v>
      </x:c>
      <x:c r="J96" s="13" t="str">
        <x:v>P2-FE-003-03</x:v>
      </x:c>
      <x:c r="K96" s="13" t="str">
        <x:v>待完成</x:v>
      </x:c>
      <x:c r="L96" s="13" t="str">
        <x:v>09-05～09-07</x:v>
      </x:c>
      <x:c r="M96" s="13" t="str">
        <x:v>—</x:v>
      </x:c>
      <x:c r="N96" s="13" t="str">
        <x:v>job_id、subject_id、variant_id、asset_id 均为UUID；创建请求另带 idempotency_key；记录 settings/skill/model 版本</x:v>
      </x:c>
      <x:c r="O96" s="13" t="str">
        <x:v>job: queued/processing/completed/partial/failed；variant: queued/processing/completed/failed</x:v>
      </x:c>
      <x:c r="P96" s="13" t="str">
        <x:v>1–20主体、每主体3方案、余额不足、内容拦截、模型超时、部分成功、刷新恢复</x:v>
      </x:c>
      <x:c r="Q96" s="13" t="str">
        <x:v>仅本人查看任务与结果；Worker 使用服务端权限；平台API Key不下发前端</x:v>
      </x:c>
      <x:c r="R96" s="13" t="str">
        <x:v>创建+扣点同事务；每用户1个活动任务；队列重投跳过已完成variant；图片保留30天</x:v>
      </x:c>
    </x:row>
    <x:row r="97" ht="72" customHeight="1">
      <x:c r="A97" s="13" t="str">
        <x:v>第 2 期</x:v>
      </x:c>
      <x:c r="B97" s="13" t="str">
        <x:v>2. 图标设计与生成</x:v>
      </x:c>
      <x:c r="C97" s="13" t="str">
        <x:v>P2-FE-003</x:v>
      </x:c>
      <x:c r="D97" s="13" t="str">
        <x:v>作品 / 我的图标页</x:v>
      </x:c>
      <x:c r="E97" s="13" t="str">
        <x:v>P2-FE-003-05</x:v>
      </x:c>
      <x:c r="F97" s="13" t="str">
        <x:v>前端</x:v>
      </x:c>
      <x:c r="G97" s="13" t="str">
        <x:v>我的图标页：空状态和再次生成</x:v>
      </x:c>
      <x:c r="H97" s="13" t="str">
        <x:v>我的图标页：空状态和再次生成</x:v>
      </x:c>
      <x:c r="I97" s="13" t="str">
        <x:v>桌面和移动端可操作；正常、空、加载、失败和禁用状态完整；中英文文案可切换。</x:v>
      </x:c>
      <x:c r="J97" s="13" t="str">
        <x:v>P2-FE-003-04</x:v>
      </x:c>
      <x:c r="K97" s="13" t="str">
        <x:v>待完成</x:v>
      </x:c>
      <x:c r="L97" s="13" t="str">
        <x:v>09-05～09-07</x:v>
      </x:c>
      <x:c r="M97" s="13" t="str">
        <x:v>—</x:v>
      </x:c>
      <x:c r="N97" s="13" t="str">
        <x:v>job_id、subject_id、variant_id、asset_id 均为UUID；创建请求另带 idempotency_key；记录 settings/skill/model 版本</x:v>
      </x:c>
      <x:c r="O97" s="13" t="str">
        <x:v>job: queued/processing/completed/partial/failed；variant: queued/processing/completed/failed</x:v>
      </x:c>
      <x:c r="P97" s="13" t="str">
        <x:v>1–20主体、每主体3方案、余额不足、内容拦截、模型超时、部分成功、刷新恢复</x:v>
      </x:c>
      <x:c r="Q97" s="13" t="str">
        <x:v>仅本人查看任务与结果；Worker 使用服务端权限；平台API Key不下发前端</x:v>
      </x:c>
      <x:c r="R97" s="13" t="str">
        <x:v>创建+扣点同事务；每用户1个活动任务；队列重投跳过已完成variant；图片保留30天</x:v>
      </x:c>
    </x:row>
    <x:row r="98" ht="72" customHeight="1">
      <x:c r="A98" s="13" t="str">
        <x:v>第 2 期</x:v>
      </x:c>
      <x:c r="B98" s="13" t="str">
        <x:v>3. 作品、预览与下载</x:v>
      </x:c>
      <x:c r="C98" s="13" t="str">
        <x:v>P2-FE-004</x:v>
      </x:c>
      <x:c r="D98" s="13" t="str">
        <x:v>单图下载 / 单张预览与下载</x:v>
      </x:c>
      <x:c r="E98" s="13" t="str">
        <x:v>P2-FE-004-01</x:v>
      </x:c>
      <x:c r="F98" s="13" t="str">
        <x:v>前端</x:v>
      </x:c>
      <x:c r="G98" s="13" t="str">
        <x:v>单张预览与下载：放大</x:v>
      </x:c>
      <x:c r="H98" s="13" t="str">
        <x:v>单张预览与下载：放大</x:v>
      </x:c>
      <x:c r="I98" s="13" t="str">
        <x:v>桌面和移动端可操作；正常、空、加载、失败和禁用状态完整；中英文文案可切换。</x:v>
      </x:c>
      <x:c r="J98" s="13" t="str">
        <x:v>P2-BE-007</x:v>
      </x:c>
      <x:c r="K98" s="13" t="str">
        <x:v>待完成</x:v>
      </x:c>
      <x:c r="L98" s="13" t="str">
        <x:v>09-06～09-08</x:v>
      </x:c>
      <x:c r="M98" s="13" t="str">
        <x:v>—</x:v>
      </x:c>
      <x:c r="N98" s="13" t="str">
        <x:v>job/variant/asset UUID；下载归档 archive_id(UUID)；归档键由用户+选择集+尺寸形成</x:v>
      </x:c>
      <x:c r="O98" s="13" t="str">
        <x:v>asset: available/expired；archive: queued/processing/ready/failed/expired</x:v>
      </x:c>
      <x:c r="P98" s="13" t="str">
        <x:v>未选择、资源未就绪、尺寸不存在、签名URL过期、资产已清理、归档部分失败</x:v>
      </x:c>
      <x:c r="Q98" s="13" t="str">
        <x:v>单图和ZIP均校验本人所有权；私有Bucket；短时签名URL</x:v>
      </x:c>
      <x:c r="R98" s="13" t="str">
        <x:v>相同选择集24小时内复用归档；作品30天、归档24小时；有效PNG进入删除账户导出</x:v>
      </x:c>
    </x:row>
    <x:row r="99" ht="72" customHeight="1">
      <x:c r="A99" s="13" t="str">
        <x:v>第 2 期</x:v>
      </x:c>
      <x:c r="B99" s="13" t="str">
        <x:v>3. 作品、预览与下载</x:v>
      </x:c>
      <x:c r="C99" s="13" t="str">
        <x:v>P2-FE-004</x:v>
      </x:c>
      <x:c r="D99" s="13" t="str">
        <x:v>单图下载 / 单张预览与下载</x:v>
      </x:c>
      <x:c r="E99" s="13" t="str">
        <x:v>P2-FE-004-02</x:v>
      </x:c>
      <x:c r="F99" s="13" t="str">
        <x:v>前端</x:v>
      </x:c>
      <x:c r="G99" s="13" t="str">
        <x:v>单张预览与下载：透明棋盘</x:v>
      </x:c>
      <x:c r="H99" s="13" t="str">
        <x:v>单张预览与下载：透明棋盘</x:v>
      </x:c>
      <x:c r="I99" s="13" t="str">
        <x:v>桌面和移动端可操作；正常、空、加载、失败和禁用状态完整；中英文文案可切换。</x:v>
      </x:c>
      <x:c r="J99" s="13" t="str">
        <x:v>P2-FE-004-01</x:v>
      </x:c>
      <x:c r="K99" s="13" t="str">
        <x:v>待完成</x:v>
      </x:c>
      <x:c r="L99" s="13" t="str">
        <x:v>09-06～09-08</x:v>
      </x:c>
      <x:c r="M99" s="13" t="str">
        <x:v>—</x:v>
      </x:c>
      <x:c r="N99" s="13" t="str">
        <x:v>job/variant/asset UUID；下载归档 archive_id(UUID)；归档键由用户+选择集+尺寸形成</x:v>
      </x:c>
      <x:c r="O99" s="13" t="str">
        <x:v>asset: available/expired；archive: queued/processing/ready/failed/expired</x:v>
      </x:c>
      <x:c r="P99" s="13" t="str">
        <x:v>未选择、资源未就绪、尺寸不存在、签名URL过期、资产已清理、归档部分失败</x:v>
      </x:c>
      <x:c r="Q99" s="13" t="str">
        <x:v>单图和ZIP均校验本人所有权；私有Bucket；短时签名URL</x:v>
      </x:c>
      <x:c r="R99" s="13" t="str">
        <x:v>相同选择集24小时内复用归档；作品30天、归档24小时；有效PNG进入删除账户导出</x:v>
      </x:c>
    </x:row>
    <x:row r="100" ht="72" customHeight="1">
      <x:c r="A100" s="13" t="str">
        <x:v>第 2 期</x:v>
      </x:c>
      <x:c r="B100" s="13" t="str">
        <x:v>3. 作品、预览与下载</x:v>
      </x:c>
      <x:c r="C100" s="13" t="str">
        <x:v>P2-FE-004</x:v>
      </x:c>
      <x:c r="D100" s="13" t="str">
        <x:v>单图下载 / 单张预览与下载</x:v>
      </x:c>
      <x:c r="E100" s="13" t="str">
        <x:v>P2-FE-004-03</x:v>
      </x:c>
      <x:c r="F100" s="13" t="str">
        <x:v>前端</x:v>
      </x:c>
      <x:c r="G100" s="13" t="str">
        <x:v>单张预览与下载：尺寸切换</x:v>
      </x:c>
      <x:c r="H100" s="13" t="str">
        <x:v>单张预览与下载：尺寸切换</x:v>
      </x:c>
      <x:c r="I100" s="13" t="str">
        <x:v>桌面和移动端可操作；正常、空、加载、失败和禁用状态完整；中英文文案可切换。</x:v>
      </x:c>
      <x:c r="J100" s="13" t="str">
        <x:v>P2-FE-004-02</x:v>
      </x:c>
      <x:c r="K100" s="13" t="str">
        <x:v>待完成</x:v>
      </x:c>
      <x:c r="L100" s="13" t="str">
        <x:v>09-06～09-08</x:v>
      </x:c>
      <x:c r="M100" s="13" t="str">
        <x:v>—</x:v>
      </x:c>
      <x:c r="N100" s="13" t="str">
        <x:v>job/variant/asset UUID；下载归档 archive_id(UUID)；归档键由用户+选择集+尺寸形成</x:v>
      </x:c>
      <x:c r="O100" s="13" t="str">
        <x:v>asset: available/expired；archive: queued/processing/ready/failed/expired</x:v>
      </x:c>
      <x:c r="P100" s="13" t="str">
        <x:v>未选择、资源未就绪、尺寸不存在、签名URL过期、资产已清理、归档部分失败</x:v>
      </x:c>
      <x:c r="Q100" s="13" t="str">
        <x:v>单图和ZIP均校验本人所有权；私有Bucket；短时签名URL</x:v>
      </x:c>
      <x:c r="R100" s="13" t="str">
        <x:v>相同选择集24小时内复用归档；作品30天、归档24小时；有效PNG进入删除账户导出</x:v>
      </x:c>
    </x:row>
    <x:row r="101" ht="72" customHeight="1">
      <x:c r="A101" s="13" t="str">
        <x:v>第 2 期</x:v>
      </x:c>
      <x:c r="B101" s="13" t="str">
        <x:v>3. 作品、预览与下载</x:v>
      </x:c>
      <x:c r="C101" s="13" t="str">
        <x:v>P2-FE-004</x:v>
      </x:c>
      <x:c r="D101" s="13" t="str">
        <x:v>单图下载 / 单张预览与下载</x:v>
      </x:c>
      <x:c r="E101" s="13" t="str">
        <x:v>P2-FE-004-04</x:v>
      </x:c>
      <x:c r="F101" s="13" t="str">
        <x:v>前端</x:v>
      </x:c>
      <x:c r="G101" s="13" t="str">
        <x:v>单张预览与下载：真实 Download PNG 按钮</x:v>
      </x:c>
      <x:c r="H101" s="13" t="str">
        <x:v>单张预览与下载：真实 Download PNG 按钮</x:v>
      </x:c>
      <x:c r="I101" s="13" t="str">
        <x:v>桌面和移动端可操作；正常、空、加载、失败和禁用状态完整；中英文文案可切换。</x:v>
      </x:c>
      <x:c r="J101" s="13" t="str">
        <x:v>P2-FE-004-03</x:v>
      </x:c>
      <x:c r="K101" s="13" t="str">
        <x:v>待完成</x:v>
      </x:c>
      <x:c r="L101" s="13" t="str">
        <x:v>09-06～09-08</x:v>
      </x:c>
      <x:c r="M101" s="13" t="str">
        <x:v>—</x:v>
      </x:c>
      <x:c r="N101" s="13" t="str">
        <x:v>job/variant/asset UUID；下载归档 archive_id(UUID)；归档键由用户+选择集+尺寸形成</x:v>
      </x:c>
      <x:c r="O101" s="13" t="str">
        <x:v>asset: available/expired；archive: queued/processing/ready/failed/expired</x:v>
      </x:c>
      <x:c r="P101" s="13" t="str">
        <x:v>未选择、资源未就绪、尺寸不存在、签名URL过期、资产已清理、归档部分失败</x:v>
      </x:c>
      <x:c r="Q101" s="13" t="str">
        <x:v>单图和ZIP均校验本人所有权；私有Bucket；短时签名URL</x:v>
      </x:c>
      <x:c r="R101" s="13" t="str">
        <x:v>相同选择集24小时内复用归档；作品30天、归档24小时；有效PNG进入删除账户导出</x:v>
      </x:c>
    </x:row>
    <x:row r="102" ht="72" customHeight="1">
      <x:c r="A102" s="13" t="str">
        <x:v>第 2 期</x:v>
      </x:c>
      <x:c r="B102" s="13" t="str">
        <x:v>2. 图标设计与生成</x:v>
      </x:c>
      <x:c r="C102" s="13" t="str">
        <x:v>P2-FE-005</x:v>
      </x:c>
      <x:c r="D102" s="13" t="str">
        <x:v>ZIP / 选择栏与 ZIP 下载</x:v>
      </x:c>
      <x:c r="E102" s="13" t="str">
        <x:v>P2-FE-005-01</x:v>
      </x:c>
      <x:c r="F102" s="13" t="str">
        <x:v>前端</x:v>
      </x:c>
      <x:c r="G102" s="13" t="str">
        <x:v>选择栏与 ZIP 下载：Selected X</x:v>
      </x:c>
      <x:c r="H102" s="13" t="str">
        <x:v>选择栏与 ZIP 下载：Selected X</x:v>
      </x:c>
      <x:c r="I102" s="13" t="str">
        <x:v>桌面和移动端可操作；正常、空、加载、失败和禁用状态完整；中英文文案可切换。</x:v>
      </x:c>
      <x:c r="J102" s="13" t="str">
        <x:v>P2-BE-008</x:v>
      </x:c>
      <x:c r="K102" s="13" t="str">
        <x:v>待完成</x:v>
      </x:c>
      <x:c r="L102" s="13" t="str">
        <x:v>09-08～09-10</x:v>
      </x:c>
      <x:c r="M102" s="13" t="str">
        <x:v>—</x:v>
      </x:c>
      <x:c r="N102" s="13" t="str">
        <x:v>job_id、subject_id、variant_id、asset_id 均为UUID；创建请求另带 idempotency_key；记录 settings/skill/model 版本</x:v>
      </x:c>
      <x:c r="O102" s="13" t="str">
        <x:v>job: queued/processing/completed/partial/failed；variant: queued/processing/completed/failed</x:v>
      </x:c>
      <x:c r="P102" s="13" t="str">
        <x:v>1–20主体、每主体3方案、余额不足、内容拦截、模型超时、部分成功、刷新恢复</x:v>
      </x:c>
      <x:c r="Q102" s="13" t="str">
        <x:v>仅本人查看任务与结果；Worker 使用服务端权限；平台API Key不下发前端</x:v>
      </x:c>
      <x:c r="R102" s="13" t="str">
        <x:v>创建+扣点同事务；每用户1个活动任务；队列重投跳过已完成variant；图片保留30天</x:v>
      </x:c>
    </x:row>
    <x:row r="103" ht="72" customHeight="1">
      <x:c r="A103" s="13" t="str">
        <x:v>第 2 期</x:v>
      </x:c>
      <x:c r="B103" s="13" t="str">
        <x:v>2. 图标设计与生成</x:v>
      </x:c>
      <x:c r="C103" s="13" t="str">
        <x:v>P2-FE-005</x:v>
      </x:c>
      <x:c r="D103" s="13" t="str">
        <x:v>ZIP / 选择栏与 ZIP 下载</x:v>
      </x:c>
      <x:c r="E103" s="13" t="str">
        <x:v>P2-FE-005-02</x:v>
      </x:c>
      <x:c r="F103" s="13" t="str">
        <x:v>前端</x:v>
      </x:c>
      <x:c r="G103" s="13" t="str">
        <x:v>选择栏与 ZIP 下载：全选/清除</x:v>
      </x:c>
      <x:c r="H103" s="13" t="str">
        <x:v>选择栏与 ZIP 下载：全选/清除</x:v>
      </x:c>
      <x:c r="I103" s="13" t="str">
        <x:v>桌面和移动端可操作；正常、空、加载、失败和禁用状态完整；中英文文案可切换。</x:v>
      </x:c>
      <x:c r="J103" s="13" t="str">
        <x:v>P2-FE-005-01</x:v>
      </x:c>
      <x:c r="K103" s="13" t="str">
        <x:v>待完成</x:v>
      </x:c>
      <x:c r="L103" s="13" t="str">
        <x:v>09-08～09-10</x:v>
      </x:c>
      <x:c r="M103" s="13" t="str">
        <x:v>—</x:v>
      </x:c>
      <x:c r="N103" s="13" t="str">
        <x:v>job_id、subject_id、variant_id、asset_id 均为UUID；创建请求另带 idempotency_key；记录 settings/skill/model 版本</x:v>
      </x:c>
      <x:c r="O103" s="13" t="str">
        <x:v>job: queued/processing/completed/partial/failed；variant: queued/processing/completed/failed</x:v>
      </x:c>
      <x:c r="P103" s="13" t="str">
        <x:v>1–20主体、每主体3方案、余额不足、内容拦截、模型超时、部分成功、刷新恢复</x:v>
      </x:c>
      <x:c r="Q103" s="13" t="str">
        <x:v>仅本人查看任务与结果；Worker 使用服务端权限；平台API Key不下发前端</x:v>
      </x:c>
      <x:c r="R103" s="13" t="str">
        <x:v>创建+扣点同事务；每用户1个活动任务；队列重投跳过已完成variant；图片保留30天</x:v>
      </x:c>
    </x:row>
    <x:row r="104" ht="72" customHeight="1">
      <x:c r="A104" s="13" t="str">
        <x:v>第 2 期</x:v>
      </x:c>
      <x:c r="B104" s="13" t="str">
        <x:v>2. 图标设计与生成</x:v>
      </x:c>
      <x:c r="C104" s="13" t="str">
        <x:v>P2-FE-005</x:v>
      </x:c>
      <x:c r="D104" s="13" t="str">
        <x:v>ZIP / 选择栏与 ZIP 下载</x:v>
      </x:c>
      <x:c r="E104" s="13" t="str">
        <x:v>P2-FE-005-03</x:v>
      </x:c>
      <x:c r="F104" s="13" t="str">
        <x:v>前端</x:v>
      </x:c>
      <x:c r="G104" s="13" t="str">
        <x:v>选择栏与 ZIP 下载：无选择错误</x:v>
      </x:c>
      <x:c r="H104" s="13" t="str">
        <x:v>选择栏与 ZIP 下载：无选择错误</x:v>
      </x:c>
      <x:c r="I104" s="13" t="str">
        <x:v>桌面和移动端可操作；正常、空、加载、失败和禁用状态完整；中英文文案可切换。</x:v>
      </x:c>
      <x:c r="J104" s="13" t="str">
        <x:v>P2-FE-005-02</x:v>
      </x:c>
      <x:c r="K104" s="13" t="str">
        <x:v>待完成</x:v>
      </x:c>
      <x:c r="L104" s="13" t="str">
        <x:v>09-08～09-10</x:v>
      </x:c>
      <x:c r="M104" s="13" t="str">
        <x:v>—</x:v>
      </x:c>
      <x:c r="N104" s="13" t="str">
        <x:v>job_id、subject_id、variant_id、asset_id 均为UUID；创建请求另带 idempotency_key；记录 settings/skill/model 版本</x:v>
      </x:c>
      <x:c r="O104" s="13" t="str">
        <x:v>job: queued/processing/completed/partial/failed；variant: queued/processing/completed/failed</x:v>
      </x:c>
      <x:c r="P104" s="13" t="str">
        <x:v>1–20主体、每主体3方案、余额不足、内容拦截、模型超时、部分成功、刷新恢复</x:v>
      </x:c>
      <x:c r="Q104" s="13" t="str">
        <x:v>仅本人查看任务与结果；Worker 使用服务端权限；平台API Key不下发前端</x:v>
      </x:c>
      <x:c r="R104" s="13" t="str">
        <x:v>创建+扣点同事务；每用户1个活动任务；队列重投跳过已完成variant；图片保留30天</x:v>
      </x:c>
    </x:row>
    <x:row r="105" ht="72" customHeight="1">
      <x:c r="A105" s="13" t="str">
        <x:v>第 2 期</x:v>
      </x:c>
      <x:c r="B105" s="13" t="str">
        <x:v>2. 图标设计与生成</x:v>
      </x:c>
      <x:c r="C105" s="13" t="str">
        <x:v>P2-FE-005</x:v>
      </x:c>
      <x:c r="D105" s="13" t="str">
        <x:v>ZIP / 选择栏与 ZIP 下载</x:v>
      </x:c>
      <x:c r="E105" s="13" t="str">
        <x:v>P2-FE-005-04</x:v>
      </x:c>
      <x:c r="F105" s="13" t="str">
        <x:v>前端</x:v>
      </x:c>
      <x:c r="G105" s="13" t="str">
        <x:v>选择栏与 ZIP 下载：归档进度与下载</x:v>
      </x:c>
      <x:c r="H105" s="13" t="str">
        <x:v>选择栏与 ZIP 下载：归档进度与下载</x:v>
      </x:c>
      <x:c r="I105" s="13" t="str">
        <x:v>桌面和移动端可操作；正常、空、加载、失败和禁用状态完整；中英文文案可切换。</x:v>
      </x:c>
      <x:c r="J105" s="13" t="str">
        <x:v>P2-FE-005-03</x:v>
      </x:c>
      <x:c r="K105" s="13" t="str">
        <x:v>待完成</x:v>
      </x:c>
      <x:c r="L105" s="13" t="str">
        <x:v>09-08～09-10</x:v>
      </x:c>
      <x:c r="M105" s="13" t="str">
        <x:v>—</x:v>
      </x:c>
      <x:c r="N105" s="13" t="str">
        <x:v>job_id、subject_id、variant_id、asset_id 均为UUID；创建请求另带 idempotency_key；记录 settings/skill/model 版本</x:v>
      </x:c>
      <x:c r="O105" s="13" t="str">
        <x:v>job: queued/processing/completed/partial/failed；variant: queued/processing/completed/failed</x:v>
      </x:c>
      <x:c r="P105" s="13" t="str">
        <x:v>1–20主体、每主体3方案、余额不足、内容拦截、模型超时、部分成功、刷新恢复</x:v>
      </x:c>
      <x:c r="Q105" s="13" t="str">
        <x:v>仅本人查看任务与结果；Worker 使用服务端权限；平台API Key不下发前端</x:v>
      </x:c>
      <x:c r="R105" s="13" t="str">
        <x:v>创建+扣点同事务；每用户1个活动任务；队列重投跳过已完成variant；图片保留30天</x:v>
      </x:c>
    </x:row>
    <x:row r="106" ht="72" customHeight="1">
      <x:c r="A106" s="13" t="str">
        <x:v>第 2 期</x:v>
      </x:c>
      <x:c r="B106" s="13" t="str">
        <x:v>3. 作品、预览与下载</x:v>
      </x:c>
      <x:c r="C106" s="13" t="str">
        <x:v>P2-FE-006</x:v>
      </x:c>
      <x:c r="D106" s="13" t="str">
        <x:v>生命周期 / 到期信息展示</x:v>
      </x:c>
      <x:c r="E106" s="13" t="str">
        <x:v>P2-FE-006-01</x:v>
      </x:c>
      <x:c r="F106" s="13" t="str">
        <x:v>前端</x:v>
      </x:c>
      <x:c r="G106" s="13" t="str">
        <x:v>到期信息展示：历史与详情展示到期时间</x:v>
      </x:c>
      <x:c r="H106" s="13" t="str">
        <x:v>到期信息展示：历史与详情展示到期时间</x:v>
      </x:c>
      <x:c r="I106" s="13" t="str">
        <x:v>桌面和移动端可操作；正常、空、加载、失败和禁用状态完整；中英文文案可切换。</x:v>
      </x:c>
      <x:c r="J106" s="13" t="str">
        <x:v>—</x:v>
      </x:c>
      <x:c r="K106" s="13" t="str">
        <x:v>待完成</x:v>
      </x:c>
      <x:c r="L106" s="13" t="str">
        <x:v>09-09～09-10</x:v>
      </x:c>
      <x:c r="M106" s="13" t="str">
        <x:v>—</x:v>
      </x:c>
      <x:c r="N106" s="13" t="str">
        <x:v>job/variant/asset UUID；下载归档 archive_id(UUID)；归档键由用户+选择集+尺寸形成</x:v>
      </x:c>
      <x:c r="O106" s="13" t="str">
        <x:v>asset: available/expired；archive: queued/processing/ready/failed/expired</x:v>
      </x:c>
      <x:c r="P106" s="13" t="str">
        <x:v>未选择、资源未就绪、尺寸不存在、签名URL过期、资产已清理、归档部分失败</x:v>
      </x:c>
      <x:c r="Q106" s="13" t="str">
        <x:v>单图和ZIP均校验本人所有权；私有Bucket；短时签名URL</x:v>
      </x:c>
      <x:c r="R106" s="13" t="str">
        <x:v>相同选择集24小时内复用归档；作品30天、归档24小时；有效PNG进入删除账户导出</x:v>
      </x:c>
    </x:row>
    <x:row r="107" ht="72" customHeight="1">
      <x:c r="A107" s="13" t="str">
        <x:v>第 2 期</x:v>
      </x:c>
      <x:c r="B107" s="13" t="str">
        <x:v>3. 作品、预览与下载</x:v>
      </x:c>
      <x:c r="C107" s="13" t="str">
        <x:v>P2-FE-006</x:v>
      </x:c>
      <x:c r="D107" s="13" t="str">
        <x:v>生命周期 / 到期信息展示</x:v>
      </x:c>
      <x:c r="E107" s="13" t="str">
        <x:v>P2-FE-006-02</x:v>
      </x:c>
      <x:c r="F107" s="13" t="str">
        <x:v>前端</x:v>
      </x:c>
      <x:c r="G107" s="13" t="str">
        <x:v>到期信息展示：已过期状态和不可恢复说明</x:v>
      </x:c>
      <x:c r="H107" s="13" t="str">
        <x:v>到期信息展示：已过期状态和不可恢复说明</x:v>
      </x:c>
      <x:c r="I107" s="13" t="str">
        <x:v>桌面和移动端可操作；正常、空、加载、失败和禁用状态完整；中英文文案可切换。</x:v>
      </x:c>
      <x:c r="J107" s="13" t="str">
        <x:v>P2-FE-006-01</x:v>
      </x:c>
      <x:c r="K107" s="13" t="str">
        <x:v>待完成</x:v>
      </x:c>
      <x:c r="L107" s="13" t="str">
        <x:v>09-09～09-10</x:v>
      </x:c>
      <x:c r="M107" s="13" t="str">
        <x:v>—</x:v>
      </x:c>
      <x:c r="N107" s="13" t="str">
        <x:v>job/variant/asset UUID；下载归档 archive_id(UUID)；归档键由用户+选择集+尺寸形成</x:v>
      </x:c>
      <x:c r="O107" s="13" t="str">
        <x:v>asset: available/expired；archive: queued/processing/ready/failed/expired</x:v>
      </x:c>
      <x:c r="P107" s="13" t="str">
        <x:v>未选择、资源未就绪、尺寸不存在、签名URL过期、资产已清理、归档部分失败</x:v>
      </x:c>
      <x:c r="Q107" s="13" t="str">
        <x:v>单图和ZIP均校验本人所有权；私有Bucket；短时签名URL</x:v>
      </x:c>
      <x:c r="R107" s="13" t="str">
        <x:v>相同选择集24小时内复用归档；作品30天、归档24小时；有效PNG进入删除账户导出</x:v>
      </x:c>
    </x:row>
    <x:row r="108" ht="72" customHeight="1">
      <x:c r="A108" s="13" t="str">
        <x:v>第 2 期</x:v>
      </x:c>
      <x:c r="B108" s="13" t="str">
        <x:v>2. 图标设计与生成</x:v>
      </x:c>
      <x:c r="C108" s="13" t="str">
        <x:v>P2-FE-007</x:v>
      </x:c>
      <x:c r="D108" s="13" t="str">
        <x:v>国际化 / 核心生成闭环双语</x:v>
      </x:c>
      <x:c r="E108" s="13" t="str">
        <x:v>P2-FE-007-01</x:v>
      </x:c>
      <x:c r="F108" s="13" t="str">
        <x:v>前端</x:v>
      </x:c>
      <x:c r="G108" s="13" t="str">
        <x:v>核心生成闭环双语：创建</x:v>
      </x:c>
      <x:c r="H108" s="13" t="str">
        <x:v>核心生成闭环双语：创建</x:v>
      </x:c>
      <x:c r="I108" s="13" t="str">
        <x:v>桌面和移动端可操作；正常、空、加载、失败和禁用状态完整；中英文文案可切换。</x:v>
      </x:c>
      <x:c r="J108" s="13" t="str">
        <x:v>—</x:v>
      </x:c>
      <x:c r="K108" s="13" t="str">
        <x:v>待完成</x:v>
      </x:c>
      <x:c r="L108" s="13" t="str">
        <x:v>09-10～09-11</x:v>
      </x:c>
      <x:c r="M108" s="13" t="str">
        <x:v>—</x:v>
      </x:c>
      <x:c r="N108" s="13" t="str">
        <x:v>job_id、subject_id、variant_id、asset_id 均为UUID；创建请求另带 idempotency_key；记录 settings/skill/model 版本</x:v>
      </x:c>
      <x:c r="O108" s="13" t="str">
        <x:v>job: queued/processing/completed/partial/failed；variant: queued/processing/completed/failed</x:v>
      </x:c>
      <x:c r="P108" s="13" t="str">
        <x:v>1–20主体、每主体3方案、余额不足、内容拦截、模型超时、部分成功、刷新恢复</x:v>
      </x:c>
      <x:c r="Q108" s="13" t="str">
        <x:v>仅本人查看任务与结果；Worker 使用服务端权限；平台API Key不下发前端</x:v>
      </x:c>
      <x:c r="R108" s="13" t="str">
        <x:v>创建+扣点同事务；每用户1个活动任务；队列重投跳过已完成variant；图片保留30天</x:v>
      </x:c>
    </x:row>
    <x:row r="109" ht="72" customHeight="1">
      <x:c r="A109" s="13" t="str">
        <x:v>第 2 期</x:v>
      </x:c>
      <x:c r="B109" s="13" t="str">
        <x:v>2. 图标设计与生成</x:v>
      </x:c>
      <x:c r="C109" s="13" t="str">
        <x:v>P2-FE-007</x:v>
      </x:c>
      <x:c r="D109" s="13" t="str">
        <x:v>国际化 / 核心生成闭环双语</x:v>
      </x:c>
      <x:c r="E109" s="13" t="str">
        <x:v>P2-FE-007-02</x:v>
      </x:c>
      <x:c r="F109" s="13" t="str">
        <x:v>前端</x:v>
      </x:c>
      <x:c r="G109" s="13" t="str">
        <x:v>核心生成闭环双语：进度</x:v>
      </x:c>
      <x:c r="H109" s="13" t="str">
        <x:v>核心生成闭环双语：进度</x:v>
      </x:c>
      <x:c r="I109" s="13" t="str">
        <x:v>桌面和移动端可操作；正常、空、加载、失败和禁用状态完整；中英文文案可切换。</x:v>
      </x:c>
      <x:c r="J109" s="13" t="str">
        <x:v>P2-FE-007-01</x:v>
      </x:c>
      <x:c r="K109" s="13" t="str">
        <x:v>待完成</x:v>
      </x:c>
      <x:c r="L109" s="13" t="str">
        <x:v>09-10～09-11</x:v>
      </x:c>
      <x:c r="M109" s="13" t="str">
        <x:v>—</x:v>
      </x:c>
      <x:c r="N109" s="13" t="str">
        <x:v>job_id、subject_id、variant_id、asset_id 均为UUID；创建请求另带 idempotency_key；记录 settings/skill/model 版本</x:v>
      </x:c>
      <x:c r="O109" s="13" t="str">
        <x:v>job: queued/processing/completed/partial/failed；variant: queued/processing/completed/failed</x:v>
      </x:c>
      <x:c r="P109" s="13" t="str">
        <x:v>1–20主体、每主体3方案、余额不足、内容拦截、模型超时、部分成功、刷新恢复</x:v>
      </x:c>
      <x:c r="Q109" s="13" t="str">
        <x:v>仅本人查看任务与结果；Worker 使用服务端权限；平台API Key不下发前端</x:v>
      </x:c>
      <x:c r="R109" s="13" t="str">
        <x:v>创建+扣点同事务；每用户1个活动任务；队列重投跳过已完成variant；图片保留30天</x:v>
      </x:c>
    </x:row>
    <x:row r="110" ht="72" customHeight="1">
      <x:c r="A110" s="13" t="str">
        <x:v>第 2 期</x:v>
      </x:c>
      <x:c r="B110" s="13" t="str">
        <x:v>2. 图标设计与生成</x:v>
      </x:c>
      <x:c r="C110" s="13" t="str">
        <x:v>P2-FE-007</x:v>
      </x:c>
      <x:c r="D110" s="13" t="str">
        <x:v>国际化 / 核心生成闭环双语</x:v>
      </x:c>
      <x:c r="E110" s="13" t="str">
        <x:v>P2-FE-007-03</x:v>
      </x:c>
      <x:c r="F110" s="13" t="str">
        <x:v>前端</x:v>
      </x:c>
      <x:c r="G110" s="13" t="str">
        <x:v>核心生成闭环双语：结果</x:v>
      </x:c>
      <x:c r="H110" s="13" t="str">
        <x:v>核心生成闭环双语：结果</x:v>
      </x:c>
      <x:c r="I110" s="13" t="str">
        <x:v>桌面和移动端可操作；正常、空、加载、失败和禁用状态完整；中英文文案可切换。</x:v>
      </x:c>
      <x:c r="J110" s="13" t="str">
        <x:v>P2-FE-007-02</x:v>
      </x:c>
      <x:c r="K110" s="13" t="str">
        <x:v>待完成</x:v>
      </x:c>
      <x:c r="L110" s="13" t="str">
        <x:v>09-10～09-11</x:v>
      </x:c>
      <x:c r="M110" s="13" t="str">
        <x:v>—</x:v>
      </x:c>
      <x:c r="N110" s="13" t="str">
        <x:v>job_id、subject_id、variant_id、asset_id 均为UUID；创建请求另带 idempotency_key；记录 settings/skill/model 版本</x:v>
      </x:c>
      <x:c r="O110" s="13" t="str">
        <x:v>job: queued/processing/completed/partial/failed；variant: queued/processing/completed/failed</x:v>
      </x:c>
      <x:c r="P110" s="13" t="str">
        <x:v>1–20主体、每主体3方案、余额不足、内容拦截、模型超时、部分成功、刷新恢复</x:v>
      </x:c>
      <x:c r="Q110" s="13" t="str">
        <x:v>仅本人查看任务与结果；Worker 使用服务端权限；平台API Key不下发前端</x:v>
      </x:c>
      <x:c r="R110" s="13" t="str">
        <x:v>创建+扣点同事务；每用户1个活动任务；队列重投跳过已完成variant；图片保留30天</x:v>
      </x:c>
    </x:row>
    <x:row r="111" ht="72" customHeight="1">
      <x:c r="A111" s="13" t="str">
        <x:v>第 2 期</x:v>
      </x:c>
      <x:c r="B111" s="13" t="str">
        <x:v>2. 图标设计与生成</x:v>
      </x:c>
      <x:c r="C111" s="13" t="str">
        <x:v>P2-FE-007</x:v>
      </x:c>
      <x:c r="D111" s="13" t="str">
        <x:v>国际化 / 核心生成闭环双语</x:v>
      </x:c>
      <x:c r="E111" s="13" t="str">
        <x:v>P2-FE-007-04</x:v>
      </x:c>
      <x:c r="F111" s="13" t="str">
        <x:v>前端</x:v>
      </x:c>
      <x:c r="G111" s="13" t="str">
        <x:v>核心生成闭环双语：历史</x:v>
      </x:c>
      <x:c r="H111" s="13" t="str">
        <x:v>核心生成闭环双语：历史</x:v>
      </x:c>
      <x:c r="I111" s="13" t="str">
        <x:v>桌面和移动端可操作；正常、空、加载、失败和禁用状态完整；中英文文案可切换。</x:v>
      </x:c>
      <x:c r="J111" s="13" t="str">
        <x:v>P2-FE-007-03</x:v>
      </x:c>
      <x:c r="K111" s="13" t="str">
        <x:v>待完成</x:v>
      </x:c>
      <x:c r="L111" s="13" t="str">
        <x:v>09-10～09-11</x:v>
      </x:c>
      <x:c r="M111" s="13" t="str">
        <x:v>—</x:v>
      </x:c>
      <x:c r="N111" s="13" t="str">
        <x:v>job_id、subject_id、variant_id、asset_id 均为UUID；创建请求另带 idempotency_key；记录 settings/skill/model 版本</x:v>
      </x:c>
      <x:c r="O111" s="13" t="str">
        <x:v>job: queued/processing/completed/partial/failed；variant: queued/processing/completed/failed</x:v>
      </x:c>
      <x:c r="P111" s="13" t="str">
        <x:v>1–20主体、每主体3方案、余额不足、内容拦截、模型超时、部分成功、刷新恢复</x:v>
      </x:c>
      <x:c r="Q111" s="13" t="str">
        <x:v>仅本人查看任务与结果；Worker 使用服务端权限；平台API Key不下发前端</x:v>
      </x:c>
      <x:c r="R111" s="13" t="str">
        <x:v>创建+扣点同事务；每用户1个活动任务；队列重投跳过已完成variant；图片保留30天</x:v>
      </x:c>
    </x:row>
    <x:row r="112" ht="72" customHeight="1">
      <x:c r="A112" s="13" t="str">
        <x:v>第 2 期</x:v>
      </x:c>
      <x:c r="B112" s="13" t="str">
        <x:v>2. 图标设计与生成</x:v>
      </x:c>
      <x:c r="C112" s="13" t="str">
        <x:v>P2-FE-007</x:v>
      </x:c>
      <x:c r="D112" s="13" t="str">
        <x:v>国际化 / 核心生成闭环双语</x:v>
      </x:c>
      <x:c r="E112" s="13" t="str">
        <x:v>P2-FE-007-05</x:v>
      </x:c>
      <x:c r="F112" s="13" t="str">
        <x:v>前端</x:v>
      </x:c>
      <x:c r="G112" s="13" t="str">
        <x:v>核心生成闭环双语：下载和错误文案中英文完整</x:v>
      </x:c>
      <x:c r="H112" s="13" t="str">
        <x:v>核心生成闭环双语：下载和错误文案中英文完整</x:v>
      </x:c>
      <x:c r="I112" s="13" t="str">
        <x:v>桌面和移动端可操作；正常、空、加载、失败和禁用状态完整；中英文文案可切换。</x:v>
      </x:c>
      <x:c r="J112" s="13" t="str">
        <x:v>P2-FE-007-04</x:v>
      </x:c>
      <x:c r="K112" s="13" t="str">
        <x:v>待完成</x:v>
      </x:c>
      <x:c r="L112" s="13" t="str">
        <x:v>09-10～09-11</x:v>
      </x:c>
      <x:c r="M112" s="13" t="str">
        <x:v>—</x:v>
      </x:c>
      <x:c r="N112" s="13" t="str">
        <x:v>job_id、subject_id、variant_id、asset_id 均为UUID；创建请求另带 idempotency_key；记录 settings/skill/model 版本</x:v>
      </x:c>
      <x:c r="O112" s="13" t="str">
        <x:v>job: queued/processing/completed/partial/failed；variant: queued/processing/completed/failed</x:v>
      </x:c>
      <x:c r="P112" s="13" t="str">
        <x:v>1–20主体、每主体3方案、余额不足、内容拦截、模型超时、部分成功、刷新恢复</x:v>
      </x:c>
      <x:c r="Q112" s="13" t="str">
        <x:v>仅本人查看任务与结果；Worker 使用服务端权限；平台API Key不下发前端</x:v>
      </x:c>
      <x:c r="R112" s="13" t="str">
        <x:v>创建+扣点同事务；每用户1个活动任务；队列重投跳过已完成variant；图片保留30天</x:v>
      </x:c>
    </x:row>
    <x:row r="113" ht="72" customHeight="1">
      <x:c r="A113" s="13" t="str">
        <x:v>第 2 期</x:v>
      </x:c>
      <x:c r="B113" s="13" t="str">
        <x:v>2. 图标设计与生成</x:v>
      </x:c>
      <x:c r="C113" s="13" t="str">
        <x:v>P2-QA-001</x:v>
      </x:c>
      <x:c r="D113" s="13" t="str">
        <x:v>验收 / 真实生成与下载测试</x:v>
      </x:c>
      <x:c r="E113" s="13" t="str">
        <x:v>P2-QA-001-01</x:v>
      </x:c>
      <x:c r="F113" s="13" t="str">
        <x:v>前端（共享任务）</x:v>
      </x:c>
      <x:c r="G113" s="13" t="str">
        <x:v>5 主体→15 槽位</x:v>
      </x:c>
      <x:c r="H113" s="13" t="str">
        <x:v>5 主体→15 槽位</x:v>
      </x:c>
      <x:c r="I113" s="13" t="str">
        <x:v>桌面和移动端可操作；正常、空、加载、失败和禁用状态完整；中英文文案可切换。</x:v>
      </x:c>
      <x:c r="J113" s="13" t="str">
        <x:v>—</x:v>
      </x:c>
      <x:c r="K113" s="13" t="str">
        <x:v>待完成</x:v>
      </x:c>
      <x:c r="L113" s="13" t="str">
        <x:v>09-12～09-13</x:v>
      </x:c>
      <x:c r="M113" s="13" t="str">
        <x:v>—</x:v>
      </x:c>
      <x:c r="N113" s="13" t="str">
        <x:v>job_id、subject_id、variant_id、asset_id 均为UUID；创建请求另带 idempotency_key；记录 settings/skill/model 版本</x:v>
      </x:c>
      <x:c r="O113" s="13" t="str">
        <x:v>job: queued/processing/completed/partial/failed；variant: queued/processing/completed/failed</x:v>
      </x:c>
      <x:c r="P113" s="13" t="str">
        <x:v>1–20主体、每主体3方案、余额不足、内容拦截、模型超时、部分成功、刷新恢复</x:v>
      </x:c>
      <x:c r="Q113" s="13" t="str">
        <x:v>仅本人查看任务与结果；Worker 使用服务端权限；平台API Key不下发前端</x:v>
      </x:c>
      <x:c r="R113" s="13" t="str">
        <x:v>创建+扣点同事务；每用户1个活动任务；队列重投跳过已完成variant；图片保留30天</x:v>
      </x:c>
    </x:row>
    <x:row r="114" ht="72" customHeight="1">
      <x:c r="A114" s="13" t="str">
        <x:v>第 2 期</x:v>
      </x:c>
      <x:c r="B114" s="13" t="str">
        <x:v>2. 图标设计与生成</x:v>
      </x:c>
      <x:c r="C114" s="13" t="str">
        <x:v>P2-QA-001</x:v>
      </x:c>
      <x:c r="D114" s="13" t="str">
        <x:v>验收 / 真实生成与下载测试</x:v>
      </x:c>
      <x:c r="E114" s="13" t="str">
        <x:v>P2-QA-001-02</x:v>
      </x:c>
      <x:c r="F114" s="13" t="str">
        <x:v>前端（共享任务）</x:v>
      </x:c>
      <x:c r="G114" s="13" t="str">
        <x:v>透明/有背景</x:v>
      </x:c>
      <x:c r="H114" s="13" t="str">
        <x:v>透明/有背景</x:v>
      </x:c>
      <x:c r="I114" s="13" t="str">
        <x:v>桌面和移动端可操作；正常、空、加载、失败和禁用状态完整；中英文文案可切换。</x:v>
      </x:c>
      <x:c r="J114" s="13" t="str">
        <x:v>P2-QA-001-01</x:v>
      </x:c>
      <x:c r="K114" s="13" t="str">
        <x:v>待完成</x:v>
      </x:c>
      <x:c r="L114" s="13" t="str">
        <x:v>09-12～09-13</x:v>
      </x:c>
      <x:c r="M114" s="13" t="str">
        <x:v>—</x:v>
      </x:c>
      <x:c r="N114" s="13" t="str">
        <x:v>job_id、subject_id、variant_id、asset_id 均为UUID；创建请求另带 idempotency_key；记录 settings/skill/model 版本</x:v>
      </x:c>
      <x:c r="O114" s="13" t="str">
        <x:v>job: queued/processing/completed/partial/failed；variant: queued/processing/completed/failed</x:v>
      </x:c>
      <x:c r="P114" s="13" t="str">
        <x:v>1–20主体、每主体3方案、余额不足、内容拦截、模型超时、部分成功、刷新恢复</x:v>
      </x:c>
      <x:c r="Q114" s="13" t="str">
        <x:v>仅本人查看任务与结果；Worker 使用服务端权限；平台API Key不下发前端</x:v>
      </x:c>
      <x:c r="R114" s="13" t="str">
        <x:v>创建+扣点同事务；每用户1个活动任务；队列重投跳过已完成variant；图片保留30天</x:v>
      </x:c>
    </x:row>
    <x:row r="115" ht="72" customHeight="1">
      <x:c r="A115" s="13" t="str">
        <x:v>第 2 期</x:v>
      </x:c>
      <x:c r="B115" s="13" t="str">
        <x:v>2. 图标设计与生成</x:v>
      </x:c>
      <x:c r="C115" s="13" t="str">
        <x:v>P2-QA-001</x:v>
      </x:c>
      <x:c r="D115" s="13" t="str">
        <x:v>验收 / 真实生成与下载测试</x:v>
      </x:c>
      <x:c r="E115" s="13" t="str">
        <x:v>P2-QA-001-03</x:v>
      </x:c>
      <x:c r="F115" s="13" t="str">
        <x:v>前端（共享任务）</x:v>
      </x:c>
      <x:c r="G115" s="13" t="str">
        <x:v>尺寸</x:v>
      </x:c>
      <x:c r="H115" s="13" t="str">
        <x:v>尺寸</x:v>
      </x:c>
      <x:c r="I115" s="13" t="str">
        <x:v>桌面和移动端可操作；正常、空、加载、失败和禁用状态完整；中英文文案可切换。</x:v>
      </x:c>
      <x:c r="J115" s="13" t="str">
        <x:v>P2-QA-001-02</x:v>
      </x:c>
      <x:c r="K115" s="13" t="str">
        <x:v>待完成</x:v>
      </x:c>
      <x:c r="L115" s="13" t="str">
        <x:v>09-12～09-13</x:v>
      </x:c>
      <x:c r="M115" s="13" t="str">
        <x:v>—</x:v>
      </x:c>
      <x:c r="N115" s="13" t="str">
        <x:v>job_id、subject_id、variant_id、asset_id 均为UUID；创建请求另带 idempotency_key；记录 settings/skill/model 版本</x:v>
      </x:c>
      <x:c r="O115" s="13" t="str">
        <x:v>job: queued/processing/completed/partial/failed；variant: queued/processing/completed/failed</x:v>
      </x:c>
      <x:c r="P115" s="13" t="str">
        <x:v>1–20主体、每主体3方案、余额不足、内容拦截、模型超时、部分成功、刷新恢复</x:v>
      </x:c>
      <x:c r="Q115" s="13" t="str">
        <x:v>仅本人查看任务与结果；Worker 使用服务端权限；平台API Key不下发前端</x:v>
      </x:c>
      <x:c r="R115" s="13" t="str">
        <x:v>创建+扣点同事务；每用户1个活动任务；队列重投跳过已完成variant；图片保留30天</x:v>
      </x:c>
    </x:row>
    <x:row r="116" ht="72" customHeight="1">
      <x:c r="A116" s="13" t="str">
        <x:v>第 2 期</x:v>
      </x:c>
      <x:c r="B116" s="13" t="str">
        <x:v>2. 图标设计与生成</x:v>
      </x:c>
      <x:c r="C116" s="13" t="str">
        <x:v>P2-QA-001</x:v>
      </x:c>
      <x:c r="D116" s="13" t="str">
        <x:v>验收 / 真实生成与下载测试</x:v>
      </x:c>
      <x:c r="E116" s="13" t="str">
        <x:v>P2-QA-001-04</x:v>
      </x:c>
      <x:c r="F116" s="13" t="str">
        <x:v>前端（共享任务）</x:v>
      </x:c>
      <x:c r="G116" s="13" t="str">
        <x:v>单图</x:v>
      </x:c>
      <x:c r="H116" s="13" t="str">
        <x:v>单图</x:v>
      </x:c>
      <x:c r="I116" s="13" t="str">
        <x:v>桌面和移动端可操作；正常、空、加载、失败和禁用状态完整；中英文文案可切换。</x:v>
      </x:c>
      <x:c r="J116" s="13" t="str">
        <x:v>P2-QA-001-03</x:v>
      </x:c>
      <x:c r="K116" s="13" t="str">
        <x:v>待完成</x:v>
      </x:c>
      <x:c r="L116" s="13" t="str">
        <x:v>09-12～09-13</x:v>
      </x:c>
      <x:c r="M116" s="13" t="str">
        <x:v>—</x:v>
      </x:c>
      <x:c r="N116" s="13" t="str">
        <x:v>job_id、subject_id、variant_id、asset_id 均为UUID；创建请求另带 idempotency_key；记录 settings/skill/model 版本</x:v>
      </x:c>
      <x:c r="O116" s="13" t="str">
        <x:v>job: queued/processing/completed/partial/failed；variant: queued/processing/completed/failed</x:v>
      </x:c>
      <x:c r="P116" s="13" t="str">
        <x:v>1–20主体、每主体3方案、余额不足、内容拦截、模型超时、部分成功、刷新恢复</x:v>
      </x:c>
      <x:c r="Q116" s="13" t="str">
        <x:v>仅本人查看任务与结果；Worker 使用服务端权限；平台API Key不下发前端</x:v>
      </x:c>
      <x:c r="R116" s="13" t="str">
        <x:v>创建+扣点同事务；每用户1个活动任务；队列重投跳过已完成variant；图片保留30天</x:v>
      </x:c>
    </x:row>
    <x:row r="117" ht="72" customHeight="1">
      <x:c r="A117" s="13" t="str">
        <x:v>第 2 期</x:v>
      </x:c>
      <x:c r="B117" s="13" t="str">
        <x:v>2. 图标设计与生成</x:v>
      </x:c>
      <x:c r="C117" s="13" t="str">
        <x:v>P2-QA-001</x:v>
      </x:c>
      <x:c r="D117" s="13" t="str">
        <x:v>验收 / 真实生成与下载测试</x:v>
      </x:c>
      <x:c r="E117" s="13" t="str">
        <x:v>P2-QA-001-05</x:v>
      </x:c>
      <x:c r="F117" s="13" t="str">
        <x:v>前端（共享任务）</x:v>
      </x:c>
      <x:c r="G117" s="13" t="str">
        <x:v>ZIP</x:v>
      </x:c>
      <x:c r="H117" s="13" t="str">
        <x:v>ZIP</x:v>
      </x:c>
      <x:c r="I117" s="13" t="str">
        <x:v>桌面和移动端可操作；正常、空、加载、失败和禁用状态完整；中英文文案可切换。</x:v>
      </x:c>
      <x:c r="J117" s="13" t="str">
        <x:v>P2-QA-001-04</x:v>
      </x:c>
      <x:c r="K117" s="13" t="str">
        <x:v>待完成</x:v>
      </x:c>
      <x:c r="L117" s="13" t="str">
        <x:v>09-12～09-13</x:v>
      </x:c>
      <x:c r="M117" s="13" t="str">
        <x:v>—</x:v>
      </x:c>
      <x:c r="N117" s="13" t="str">
        <x:v>job_id、subject_id、variant_id、asset_id 均为UUID；创建请求另带 idempotency_key；记录 settings/skill/model 版本</x:v>
      </x:c>
      <x:c r="O117" s="13" t="str">
        <x:v>job: queued/processing/completed/partial/failed；variant: queued/processing/completed/failed</x:v>
      </x:c>
      <x:c r="P117" s="13" t="str">
        <x:v>1–20主体、每主体3方案、余额不足、内容拦截、模型超时、部分成功、刷新恢复</x:v>
      </x:c>
      <x:c r="Q117" s="13" t="str">
        <x:v>仅本人查看任务与结果；Worker 使用服务端权限；平台API Key不下发前端</x:v>
      </x:c>
      <x:c r="R117" s="13" t="str">
        <x:v>创建+扣点同事务；每用户1个活动任务；队列重投跳过已完成variant；图片保留30天</x:v>
      </x:c>
    </x:row>
    <x:row r="118" ht="72" customHeight="1">
      <x:c r="A118" s="13" t="str">
        <x:v>第 2 期</x:v>
      </x:c>
      <x:c r="B118" s="13" t="str">
        <x:v>2. 图标设计与生成</x:v>
      </x:c>
      <x:c r="C118" s="13" t="str">
        <x:v>P2-QA-001</x:v>
      </x:c>
      <x:c r="D118" s="13" t="str">
        <x:v>验收 / 真实生成与下载测试</x:v>
      </x:c>
      <x:c r="E118" s="13" t="str">
        <x:v>P2-QA-001-06</x:v>
      </x:c>
      <x:c r="F118" s="13" t="str">
        <x:v>前端（共享任务）</x:v>
      </x:c>
      <x:c r="G118" s="13" t="str">
        <x:v>越权</x:v>
      </x:c>
      <x:c r="H118" s="13" t="str">
        <x:v>越权</x:v>
      </x:c>
      <x:c r="I118" s="13" t="str">
        <x:v>允许与拒绝场景均有自动化测试；敏感信息不进入浏览器、日志或导出文件。</x:v>
      </x:c>
      <x:c r="J118" s="13" t="str">
        <x:v>P2-QA-001-05</x:v>
      </x:c>
      <x:c r="K118" s="13" t="str">
        <x:v>待完成</x:v>
      </x:c>
      <x:c r="L118" s="13" t="str">
        <x:v>09-12～09-13</x:v>
      </x:c>
      <x:c r="M118" s="13" t="str">
        <x:v>—</x:v>
      </x:c>
      <x:c r="N118" s="13" t="str">
        <x:v>job_id、subject_id、variant_id、asset_id 均为UUID；创建请求另带 idempotency_key；记录 settings/skill/model 版本</x:v>
      </x:c>
      <x:c r="O118" s="13" t="str">
        <x:v>job: queued/processing/completed/partial/failed；variant: queued/processing/completed/failed</x:v>
      </x:c>
      <x:c r="P118" s="13" t="str">
        <x:v>1–20主体、每主体3方案、余额不足、内容拦截、模型超时、部分成功、刷新恢复</x:v>
      </x:c>
      <x:c r="Q118" s="13" t="str">
        <x:v>仅本人查看任务与结果；Worker 使用服务端权限；平台API Key不下发前端</x:v>
      </x:c>
      <x:c r="R118" s="13" t="str">
        <x:v>创建+扣点同事务；每用户1个活动任务；队列重投跳过已完成variant；图片保留30天</x:v>
      </x:c>
    </x:row>
    <x:row r="119" ht="72" customHeight="1">
      <x:c r="A119" s="13" t="str">
        <x:v>第 2 期</x:v>
      </x:c>
      <x:c r="B119" s="13" t="str">
        <x:v>2. 图标设计与生成</x:v>
      </x:c>
      <x:c r="C119" s="13" t="str">
        <x:v>P2-QA-001</x:v>
      </x:c>
      <x:c r="D119" s="13" t="str">
        <x:v>验收 / 真实生成与下载测试</x:v>
      </x:c>
      <x:c r="E119" s="13" t="str">
        <x:v>P2-QA-001-07</x:v>
      </x:c>
      <x:c r="F119" s="13" t="str">
        <x:v>前端（共享任务）</x:v>
      </x:c>
      <x:c r="G119" s="13" t="str">
        <x:v>返还</x:v>
      </x:c>
      <x:c r="H119" s="13" t="str">
        <x:v>返还</x:v>
      </x:c>
      <x:c r="I119" s="13" t="str">
        <x:v>桌面和移动端可操作；正常、空、加载、失败和禁用状态完整；中英文文案可切换。</x:v>
      </x:c>
      <x:c r="J119" s="13" t="str">
        <x:v>P2-QA-001-06</x:v>
      </x:c>
      <x:c r="K119" s="13" t="str">
        <x:v>待完成</x:v>
      </x:c>
      <x:c r="L119" s="13" t="str">
        <x:v>09-12～09-13</x:v>
      </x:c>
      <x:c r="M119" s="13" t="str">
        <x:v>—</x:v>
      </x:c>
      <x:c r="N119" s="13" t="str">
        <x:v>job_id、subject_id、variant_id、asset_id 均为UUID；创建请求另带 idempotency_key；记录 settings/skill/model 版本</x:v>
      </x:c>
      <x:c r="O119" s="13" t="str">
        <x:v>job: queued/processing/completed/partial/failed；variant: queued/processing/completed/failed</x:v>
      </x:c>
      <x:c r="P119" s="13" t="str">
        <x:v>1–20主体、每主体3方案、余额不足、内容拦截、模型超时、部分成功、刷新恢复</x:v>
      </x:c>
      <x:c r="Q119" s="13" t="str">
        <x:v>仅本人查看任务与结果；Worker 使用服务端权限；平台API Key不下发前端</x:v>
      </x:c>
      <x:c r="R119" s="13" t="str">
        <x:v>创建+扣点同事务；每用户1个活动任务；队列重投跳过已完成variant；图片保留30天</x:v>
      </x:c>
    </x:row>
    <x:row r="120" ht="72" customHeight="1">
      <x:c r="A120" s="13" t="str">
        <x:v>第 3 期</x:v>
      </x:c>
      <x:c r="B120" s="13" t="str">
        <x:v>4. 点数与商业化</x:v>
      </x:c>
      <x:c r="C120" s="13" t="str">
        <x:v>P3-FE-001</x:v>
      </x:c>
      <x:c r="D120" s="13" t="str">
        <x:v>支付 / 真实价格与 Checkout</x:v>
      </x:c>
      <x:c r="E120" s="13" t="str">
        <x:v>P3-FE-001-01</x:v>
      </x:c>
      <x:c r="F120" s="13" t="str">
        <x:v>前端</x:v>
      </x:c>
      <x:c r="G120" s="13" t="str">
        <x:v>获取套餐</x:v>
      </x:c>
      <x:c r="H120" s="13" t="str">
        <x:v>获取套餐</x:v>
      </x:c>
      <x:c r="I120" s="13" t="str">
        <x:v>桌面和移动端可操作；正常、空、加载、失败和禁用状态完整；中英文文案可切换。</x:v>
      </x:c>
      <x:c r="J120" s="13" t="str">
        <x:v>P3-BE-002</x:v>
      </x:c>
      <x:c r="K120" s="13" t="str">
        <x:v>待完成</x:v>
      </x:c>
      <x:c r="L120" s="13" t="str">
        <x:v>09-15～09-17</x:v>
      </x:c>
      <x:c r="M120" s="13" t="str">
        <x:v>—</x:v>
      </x:c>
      <x:c r="N120" s="13" t="str">
        <x:v>order id(UUID)+order_number(后端生成)；ledger_id(UUID)；Stripe session/payment/event ID；package/pricing version</x:v>
      </x:c>
      <x:c r="O120" s="13" t="str">
        <x:v>order: pending/paid/canceled/expired/failed/refunded；账本记录不可变，余额为快照</x:v>
      </x:c>
      <x:c r="P120" s="13" t="str">
        <x:v>套餐停用/改价、重复点击、Checkout失败、Webhook重复/乱序/伪造、金额币种不一致、退款争议</x:v>
      </x:c>
      <x:c r="Q120" s="13" t="str">
        <x:v>用户只读本人订单/账本；只有验签Webhook可入账；管理员调点需授权和审计</x:v>
      </x:c>
      <x:c r="R120" s="13" t="str">
        <x:v>(user_id,idempotency_key)防重复下单；Event ID去重；订单行锁原子入账；订单/账本进入个人数据导出</x:v>
      </x:c>
    </x:row>
    <x:row r="121" ht="72" customHeight="1">
      <x:c r="A121" s="13" t="str">
        <x:v>第 3 期</x:v>
      </x:c>
      <x:c r="B121" s="13" t="str">
        <x:v>4. 点数与商业化</x:v>
      </x:c>
      <x:c r="C121" s="13" t="str">
        <x:v>P3-FE-001</x:v>
      </x:c>
      <x:c r="D121" s="13" t="str">
        <x:v>支付 / 真实价格与 Checkout</x:v>
      </x:c>
      <x:c r="E121" s="13" t="str">
        <x:v>P3-FE-001-02</x:v>
      </x:c>
      <x:c r="F121" s="13" t="str">
        <x:v>前端</x:v>
      </x:c>
      <x:c r="G121" s="13" t="str">
        <x:v>选择套餐</x:v>
      </x:c>
      <x:c r="H121" s="13" t="str">
        <x:v>选择套餐</x:v>
      </x:c>
      <x:c r="I121" s="13" t="str">
        <x:v>桌面和移动端可操作；正常、空、加载、失败和禁用状态完整；中英文文案可切换。</x:v>
      </x:c>
      <x:c r="J121" s="13" t="str">
        <x:v>P3-FE-001-01</x:v>
      </x:c>
      <x:c r="K121" s="13" t="str">
        <x:v>待完成</x:v>
      </x:c>
      <x:c r="L121" s="13" t="str">
        <x:v>09-15～09-17</x:v>
      </x:c>
      <x:c r="M121" s="13" t="str">
        <x:v>—</x:v>
      </x:c>
      <x:c r="N121" s="13" t="str">
        <x:v>order id(UUID)+order_number(后端生成)；ledger_id(UUID)；Stripe session/payment/event ID；package/pricing version</x:v>
      </x:c>
      <x:c r="O121" s="13" t="str">
        <x:v>order: pending/paid/canceled/expired/failed/refunded；账本记录不可变，余额为快照</x:v>
      </x:c>
      <x:c r="P121" s="13" t="str">
        <x:v>套餐停用/改价、重复点击、Checkout失败、Webhook重复/乱序/伪造、金额币种不一致、退款争议</x:v>
      </x:c>
      <x:c r="Q121" s="13" t="str">
        <x:v>用户只读本人订单/账本；只有验签Webhook可入账；管理员调点需授权和审计</x:v>
      </x:c>
      <x:c r="R121" s="13" t="str">
        <x:v>(user_id,idempotency_key)防重复下单；Event ID去重；订单行锁原子入账；订单/账本进入个人数据导出</x:v>
      </x:c>
    </x:row>
    <x:row r="122" ht="72" customHeight="1">
      <x:c r="A122" s="13" t="str">
        <x:v>第 3 期</x:v>
      </x:c>
      <x:c r="B122" s="13" t="str">
        <x:v>4. 点数与商业化</x:v>
      </x:c>
      <x:c r="C122" s="13" t="str">
        <x:v>P3-FE-001</x:v>
      </x:c>
      <x:c r="D122" s="13" t="str">
        <x:v>支付 / 真实价格与 Checkout</x:v>
      </x:c>
      <x:c r="E122" s="13" t="str">
        <x:v>P3-FE-001-03</x:v>
      </x:c>
      <x:c r="F122" s="13" t="str">
        <x:v>前端</x:v>
      </x:c>
      <x:c r="G122" s="13" t="str">
        <x:v>跳转 Stripe</x:v>
      </x:c>
      <x:c r="H122" s="13" t="str">
        <x:v>跳转 Stripe</x:v>
      </x:c>
      <x:c r="I122" s="13" t="str">
        <x:v>桌面和移动端可操作；正常、空、加载、失败和禁用状态完整；中英文文案可切换。</x:v>
      </x:c>
      <x:c r="J122" s="13" t="str">
        <x:v>P3-FE-001-02</x:v>
      </x:c>
      <x:c r="K122" s="13" t="str">
        <x:v>待完成</x:v>
      </x:c>
      <x:c r="L122" s="13" t="str">
        <x:v>09-15～09-17</x:v>
      </x:c>
      <x:c r="M122" s="13" t="str">
        <x:v>—</x:v>
      </x:c>
      <x:c r="N122" s="13" t="str">
        <x:v>order id(UUID)+order_number(后端生成)；ledger_id(UUID)；Stripe session/payment/event ID；package/pricing version</x:v>
      </x:c>
      <x:c r="O122" s="13" t="str">
        <x:v>order: pending/paid/canceled/expired/failed/refunded；账本记录不可变，余额为快照</x:v>
      </x:c>
      <x:c r="P122" s="13" t="str">
        <x:v>套餐停用/改价、重复点击、Checkout失败、Webhook重复/乱序/伪造、金额币种不一致、退款争议</x:v>
      </x:c>
      <x:c r="Q122" s="13" t="str">
        <x:v>用户只读本人订单/账本；只有验签Webhook可入账；管理员调点需授权和审计</x:v>
      </x:c>
      <x:c r="R122" s="13" t="str">
        <x:v>(user_id,idempotency_key)防重复下单；Event ID去重；订单行锁原子入账；订单/账本进入个人数据导出</x:v>
      </x:c>
    </x:row>
    <x:row r="123" ht="72" customHeight="1">
      <x:c r="A123" s="13" t="str">
        <x:v>第 3 期</x:v>
      </x:c>
      <x:c r="B123" s="13" t="str">
        <x:v>4. 点数与商业化</x:v>
      </x:c>
      <x:c r="C123" s="13" t="str">
        <x:v>P3-FE-001</x:v>
      </x:c>
      <x:c r="D123" s="13" t="str">
        <x:v>支付 / 真实价格与 Checkout</x:v>
      </x:c>
      <x:c r="E123" s="13" t="str">
        <x:v>P3-FE-001-04</x:v>
      </x:c>
      <x:c r="F123" s="13" t="str">
        <x:v>前端</x:v>
      </x:c>
      <x:c r="G123" s="13" t="str">
        <x:v>错误和登录拦截</x:v>
      </x:c>
      <x:c r="H123" s="13" t="str">
        <x:v>错误和登录拦截</x:v>
      </x:c>
      <x:c r="I123" s="13" t="str">
        <x:v>桌面和移动端可操作；正常、空、加载、失败和禁用状态完整；中英文文案可切换。</x:v>
      </x:c>
      <x:c r="J123" s="13" t="str">
        <x:v>P3-FE-001-03</x:v>
      </x:c>
      <x:c r="K123" s="13" t="str">
        <x:v>待完成</x:v>
      </x:c>
      <x:c r="L123" s="13" t="str">
        <x:v>09-15～09-17</x:v>
      </x:c>
      <x:c r="M123" s="13" t="str">
        <x:v>—</x:v>
      </x:c>
      <x:c r="N123" s="13" t="str">
        <x:v>order id(UUID)+order_number(后端生成)；ledger_id(UUID)；Stripe session/payment/event ID；package/pricing version</x:v>
      </x:c>
      <x:c r="O123" s="13" t="str">
        <x:v>order: pending/paid/canceled/expired/failed/refunded；账本记录不可变，余额为快照</x:v>
      </x:c>
      <x:c r="P123" s="13" t="str">
        <x:v>套餐停用/改价、重复点击、Checkout失败、Webhook重复/乱序/伪造、金额币种不一致、退款争议</x:v>
      </x:c>
      <x:c r="Q123" s="13" t="str">
        <x:v>用户只读本人订单/账本；只有验签Webhook可入账；管理员调点需授权和审计</x:v>
      </x:c>
      <x:c r="R123" s="13" t="str">
        <x:v>(user_id,idempotency_key)防重复下单；Event ID去重；订单行锁原子入账；订单/账本进入个人数据导出</x:v>
      </x:c>
    </x:row>
    <x:row r="124" ht="72" customHeight="1">
      <x:c r="A124" s="13" t="str">
        <x:v>第 3 期</x:v>
      </x:c>
      <x:c r="B124" s="13" t="str">
        <x:v>4. 点数与商业化</x:v>
      </x:c>
      <x:c r="C124" s="13" t="str">
        <x:v>P3-FE-002</x:v>
      </x:c>
      <x:c r="D124" s="13" t="str">
        <x:v>支付 / 支付结果页</x:v>
      </x:c>
      <x:c r="E124" s="13" t="str">
        <x:v>P3-FE-002-01</x:v>
      </x:c>
      <x:c r="F124" s="13" t="str">
        <x:v>前端</x:v>
      </x:c>
      <x:c r="G124" s="13" t="str">
        <x:v>支付结果页：确认中</x:v>
      </x:c>
      <x:c r="H124" s="13" t="str">
        <x:v>支付结果页：确认中</x:v>
      </x:c>
      <x:c r="I124" s="13" t="str">
        <x:v>桌面和移动端可操作；正常、空、加载、失败和禁用状态完整；中英文文案可切换。</x:v>
      </x:c>
      <x:c r="J124" s="13" t="str">
        <x:v>P3-BE-003</x:v>
      </x:c>
      <x:c r="K124" s="13" t="str">
        <x:v>待完成</x:v>
      </x:c>
      <x:c r="L124" s="13" t="str">
        <x:v>09-17～09-18</x:v>
      </x:c>
      <x:c r="M124" s="13" t="str">
        <x:v>—</x:v>
      </x:c>
      <x:c r="N124" s="13" t="str">
        <x:v>order id(UUID)+order_number(后端生成)；ledger_id(UUID)；Stripe session/payment/event ID；package/pricing version</x:v>
      </x:c>
      <x:c r="O124" s="13" t="str">
        <x:v>order: pending/paid/canceled/expired/failed/refunded；账本记录不可变，余额为快照</x:v>
      </x:c>
      <x:c r="P124" s="13" t="str">
        <x:v>套餐停用/改价、重复点击、Checkout失败、Webhook重复/乱序/伪造、金额币种不一致、退款争议</x:v>
      </x:c>
      <x:c r="Q124" s="13" t="str">
        <x:v>用户只读本人订单/账本；只有验签Webhook可入账；管理员调点需授权和审计</x:v>
      </x:c>
      <x:c r="R124" s="13" t="str">
        <x:v>(user_id,idempotency_key)防重复下单；Event ID去重；订单行锁原子入账；订单/账本进入个人数据导出</x:v>
      </x:c>
    </x:row>
    <x:row r="125" ht="72" customHeight="1">
      <x:c r="A125" s="13" t="str">
        <x:v>第 3 期</x:v>
      </x:c>
      <x:c r="B125" s="13" t="str">
        <x:v>4. 点数与商业化</x:v>
      </x:c>
      <x:c r="C125" s="13" t="str">
        <x:v>P3-FE-002</x:v>
      </x:c>
      <x:c r="D125" s="13" t="str">
        <x:v>支付 / 支付结果页</x:v>
      </x:c>
      <x:c r="E125" s="13" t="str">
        <x:v>P3-FE-002-02</x:v>
      </x:c>
      <x:c r="F125" s="13" t="str">
        <x:v>前端</x:v>
      </x:c>
      <x:c r="G125" s="13" t="str">
        <x:v>支付结果页：成功</x:v>
      </x:c>
      <x:c r="H125" s="13" t="str">
        <x:v>支付结果页：成功</x:v>
      </x:c>
      <x:c r="I125" s="13" t="str">
        <x:v>桌面和移动端可操作；正常、空、加载、失败和禁用状态完整；中英文文案可切换。</x:v>
      </x:c>
      <x:c r="J125" s="13" t="str">
        <x:v>P3-FE-002-01</x:v>
      </x:c>
      <x:c r="K125" s="13" t="str">
        <x:v>待完成</x:v>
      </x:c>
      <x:c r="L125" s="13" t="str">
        <x:v>09-17～09-18</x:v>
      </x:c>
      <x:c r="M125" s="13" t="str">
        <x:v>—</x:v>
      </x:c>
      <x:c r="N125" s="13" t="str">
        <x:v>order id(UUID)+order_number(后端生成)；ledger_id(UUID)；Stripe session/payment/event ID；package/pricing version</x:v>
      </x:c>
      <x:c r="O125" s="13" t="str">
        <x:v>order: pending/paid/canceled/expired/failed/refunded；账本记录不可变，余额为快照</x:v>
      </x:c>
      <x:c r="P125" s="13" t="str">
        <x:v>套餐停用/改价、重复点击、Checkout失败、Webhook重复/乱序/伪造、金额币种不一致、退款争议</x:v>
      </x:c>
      <x:c r="Q125" s="13" t="str">
        <x:v>用户只读本人订单/账本；只有验签Webhook可入账；管理员调点需授权和审计</x:v>
      </x:c>
      <x:c r="R125" s="13" t="str">
        <x:v>(user_id,idempotency_key)防重复下单；Event ID去重；订单行锁原子入账；订单/账本进入个人数据导出</x:v>
      </x:c>
    </x:row>
    <x:row r="126" ht="72" customHeight="1">
      <x:c r="A126" s="13" t="str">
        <x:v>第 3 期</x:v>
      </x:c>
      <x:c r="B126" s="13" t="str">
        <x:v>4. 点数与商业化</x:v>
      </x:c>
      <x:c r="C126" s="13" t="str">
        <x:v>P3-FE-002</x:v>
      </x:c>
      <x:c r="D126" s="13" t="str">
        <x:v>支付 / 支付结果页</x:v>
      </x:c>
      <x:c r="E126" s="13" t="str">
        <x:v>P3-FE-002-03</x:v>
      </x:c>
      <x:c r="F126" s="13" t="str">
        <x:v>前端</x:v>
      </x:c>
      <x:c r="G126" s="13" t="str">
        <x:v>支付结果页：取消</x:v>
      </x:c>
      <x:c r="H126" s="13" t="str">
        <x:v>支付结果页：取消</x:v>
      </x:c>
      <x:c r="I126" s="13" t="str">
        <x:v>桌面和移动端可操作；正常、空、加载、失败和禁用状态完整；中英文文案可切换。</x:v>
      </x:c>
      <x:c r="J126" s="13" t="str">
        <x:v>P3-FE-002-02</x:v>
      </x:c>
      <x:c r="K126" s="13" t="str">
        <x:v>待完成</x:v>
      </x:c>
      <x:c r="L126" s="13" t="str">
        <x:v>09-17～09-18</x:v>
      </x:c>
      <x:c r="M126" s="13" t="str">
        <x:v>—</x:v>
      </x:c>
      <x:c r="N126" s="13" t="str">
        <x:v>order id(UUID)+order_number(后端生成)；ledger_id(UUID)；Stripe session/payment/event ID；package/pricing version</x:v>
      </x:c>
      <x:c r="O126" s="13" t="str">
        <x:v>order: pending/paid/canceled/expired/failed/refunded；账本记录不可变，余额为快照</x:v>
      </x:c>
      <x:c r="P126" s="13" t="str">
        <x:v>套餐停用/改价、重复点击、Checkout失败、Webhook重复/乱序/伪造、金额币种不一致、退款争议</x:v>
      </x:c>
      <x:c r="Q126" s="13" t="str">
        <x:v>用户只读本人订单/账本；只有验签Webhook可入账；管理员调点需授权和审计</x:v>
      </x:c>
      <x:c r="R126" s="13" t="str">
        <x:v>(user_id,idempotency_key)防重复下单；Event ID去重；订单行锁原子入账；订单/账本进入个人数据导出</x:v>
      </x:c>
    </x:row>
    <x:row r="127" ht="72" customHeight="1">
      <x:c r="A127" s="13" t="str">
        <x:v>第 3 期</x:v>
      </x:c>
      <x:c r="B127" s="13" t="str">
        <x:v>4. 点数与商业化</x:v>
      </x:c>
      <x:c r="C127" s="13" t="str">
        <x:v>P3-FE-002</x:v>
      </x:c>
      <x:c r="D127" s="13" t="str">
        <x:v>支付 / 支付结果页</x:v>
      </x:c>
      <x:c r="E127" s="13" t="str">
        <x:v>P3-FE-002-04</x:v>
      </x:c>
      <x:c r="F127" s="13" t="str">
        <x:v>前端</x:v>
      </x:c>
      <x:c r="G127" s="13" t="str">
        <x:v>支付结果页：失败</x:v>
      </x:c>
      <x:c r="H127" s="13" t="str">
        <x:v>支付结果页：失败</x:v>
      </x:c>
      <x:c r="I127" s="13" t="str">
        <x:v>桌面和移动端可操作；正常、空、加载、失败和禁用状态完整；中英文文案可切换。</x:v>
      </x:c>
      <x:c r="J127" s="13" t="str">
        <x:v>P3-FE-002-03</x:v>
      </x:c>
      <x:c r="K127" s="13" t="str">
        <x:v>待完成</x:v>
      </x:c>
      <x:c r="L127" s="13" t="str">
        <x:v>09-17～09-18</x:v>
      </x:c>
      <x:c r="M127" s="13" t="str">
        <x:v>—</x:v>
      </x:c>
      <x:c r="N127" s="13" t="str">
        <x:v>order id(UUID)+order_number(后端生成)；ledger_id(UUID)；Stripe session/payment/event ID；package/pricing version</x:v>
      </x:c>
      <x:c r="O127" s="13" t="str">
        <x:v>order: pending/paid/canceled/expired/failed/refunded；账本记录不可变，余额为快照</x:v>
      </x:c>
      <x:c r="P127" s="13" t="str">
        <x:v>套餐停用/改价、重复点击、Checkout失败、Webhook重复/乱序/伪造、金额币种不一致、退款争议</x:v>
      </x:c>
      <x:c r="Q127" s="13" t="str">
        <x:v>用户只读本人订单/账本；只有验签Webhook可入账；管理员调点需授权和审计</x:v>
      </x:c>
      <x:c r="R127" s="13" t="str">
        <x:v>(user_id,idempotency_key)防重复下单；Event ID去重；订单行锁原子入账；订单/账本进入个人数据导出</x:v>
      </x:c>
    </x:row>
    <x:row r="128" ht="72" customHeight="1">
      <x:c r="A128" s="13" t="str">
        <x:v>第 3 期</x:v>
      </x:c>
      <x:c r="B128" s="13" t="str">
        <x:v>4. 点数与商业化</x:v>
      </x:c>
      <x:c r="C128" s="13" t="str">
        <x:v>P3-FE-002</x:v>
      </x:c>
      <x:c r="D128" s="13" t="str">
        <x:v>支付 / 支付结果页</x:v>
      </x:c>
      <x:c r="E128" s="13" t="str">
        <x:v>P3-FE-002-05</x:v>
      </x:c>
      <x:c r="F128" s="13" t="str">
        <x:v>前端</x:v>
      </x:c>
      <x:c r="G128" s="13" t="str">
        <x:v>支付结果页：入账延迟和余额刷新</x:v>
      </x:c>
      <x:c r="H128" s="13" t="str">
        <x:v>支付结果页：入账延迟和余额刷新</x:v>
      </x:c>
      <x:c r="I128" s="13" t="str">
        <x:v>桌面和移动端可操作；正常、空、加载、失败和禁用状态完整；中英文文案可切换。</x:v>
      </x:c>
      <x:c r="J128" s="13" t="str">
        <x:v>P3-FE-002-04</x:v>
      </x:c>
      <x:c r="K128" s="13" t="str">
        <x:v>待完成</x:v>
      </x:c>
      <x:c r="L128" s="13" t="str">
        <x:v>09-17～09-18</x:v>
      </x:c>
      <x:c r="M128" s="13" t="str">
        <x:v>—</x:v>
      </x:c>
      <x:c r="N128" s="13" t="str">
        <x:v>order id(UUID)+order_number(后端生成)；ledger_id(UUID)；Stripe session/payment/event ID；package/pricing version</x:v>
      </x:c>
      <x:c r="O128" s="13" t="str">
        <x:v>order: pending/paid/canceled/expired/failed/refunded；账本记录不可变，余额为快照</x:v>
      </x:c>
      <x:c r="P128" s="13" t="str">
        <x:v>套餐停用/改价、重复点击、Checkout失败、Webhook重复/乱序/伪造、金额币种不一致、退款争议</x:v>
      </x:c>
      <x:c r="Q128" s="13" t="str">
        <x:v>用户只读本人订单/账本；只有验签Webhook可入账；管理员调点需授权和审计</x:v>
      </x:c>
      <x:c r="R128" s="13" t="str">
        <x:v>(user_id,idempotency_key)防重复下单；Event ID去重；订单行锁原子入账；订单/账本进入个人数据导出</x:v>
      </x:c>
    </x:row>
    <x:row r="129" ht="72" customHeight="1">
      <x:c r="A129" s="13" t="str">
        <x:v>第 3 期</x:v>
      </x:c>
      <x:c r="B129" s="13" t="str">
        <x:v>2. 图标设计与生成</x:v>
      </x:c>
      <x:c r="C129" s="13" t="str">
        <x:v>P3-FE-003</x:v>
      </x:c>
      <x:c r="D129" s="13" t="str">
        <x:v>删除账户 / 删除与数据导出页面</x:v>
      </x:c>
      <x:c r="E129" s="13" t="str">
        <x:v>P3-FE-003-01</x:v>
      </x:c>
      <x:c r="F129" s="13" t="str">
        <x:v>前端</x:v>
      </x:c>
      <x:c r="G129" s="13" t="str">
        <x:v>删除与数据导出页面：二次确认</x:v>
      </x:c>
      <x:c r="H129" s="13" t="str">
        <x:v>删除与数据导出页面：二次确认</x:v>
      </x:c>
      <x:c r="I129" s="13" t="str">
        <x:v>桌面和移动端可操作；正常、空、加载、失败和禁用状态完整；中英文文案可切换。</x:v>
      </x:c>
      <x:c r="J129" s="13" t="str">
        <x:v>P3-BE-004,P3-BE-005</x:v>
      </x:c>
      <x:c r="K129" s="13" t="str">
        <x:v>待完成</x:v>
      </x:c>
      <x:c r="L129" s="13" t="str">
        <x:v>09-20～09-22</x:v>
      </x:c>
      <x:c r="M129" s="13" t="str">
        <x:v>—</x:v>
      </x:c>
      <x:c r="N129" s="13" t="str">
        <x:v>job_id、subject_id、variant_id、asset_id 均为UUID；创建请求另带 idempotency_key；记录 settings/skill/model 版本</x:v>
      </x:c>
      <x:c r="O129" s="13" t="str">
        <x:v>job: queued/processing/completed/partial/failed；variant: queued/processing/completed/failed</x:v>
      </x:c>
      <x:c r="P129" s="13" t="str">
        <x:v>1–20主体、每主体3方案、余额不足、内容拦截、模型超时、部分成功、刷新恢复</x:v>
      </x:c>
      <x:c r="Q129" s="13" t="str">
        <x:v>仅本人查看任务与结果；Worker 使用服务端权限；平台API Key不下发前端</x:v>
      </x:c>
      <x:c r="R129" s="13" t="str">
        <x:v>创建+扣点同事务；每用户1个活动任务；队列重投跳过已完成variant；图片保留30天</x:v>
      </x:c>
    </x:row>
    <x:row r="130" ht="72" customHeight="1">
      <x:c r="A130" s="13" t="str">
        <x:v>第 3 期</x:v>
      </x:c>
      <x:c r="B130" s="13" t="str">
        <x:v>2. 图标设计与生成</x:v>
      </x:c>
      <x:c r="C130" s="13" t="str">
        <x:v>P3-FE-003</x:v>
      </x:c>
      <x:c r="D130" s="13" t="str">
        <x:v>删除账户 / 删除与数据导出页面</x:v>
      </x:c>
      <x:c r="E130" s="13" t="str">
        <x:v>P3-FE-003-02</x:v>
      </x:c>
      <x:c r="F130" s="13" t="str">
        <x:v>前端</x:v>
      </x:c>
      <x:c r="G130" s="13" t="str">
        <x:v>删除与数据导出页面：倒计时</x:v>
      </x:c>
      <x:c r="H130" s="13" t="str">
        <x:v>删除与数据导出页面：倒计时</x:v>
      </x:c>
      <x:c r="I130" s="13" t="str">
        <x:v>桌面和移动端可操作；正常、空、加载、失败和禁用状态完整；中英文文案可切换。</x:v>
      </x:c>
      <x:c r="J130" s="13" t="str">
        <x:v>P3-FE-003-01</x:v>
      </x:c>
      <x:c r="K130" s="13" t="str">
        <x:v>待完成</x:v>
      </x:c>
      <x:c r="L130" s="13" t="str">
        <x:v>09-20～09-22</x:v>
      </x:c>
      <x:c r="M130" s="13" t="str">
        <x:v>—</x:v>
      </x:c>
      <x:c r="N130" s="13" t="str">
        <x:v>job_id、subject_id、variant_id、asset_id 均为UUID；创建请求另带 idempotency_key；记录 settings/skill/model 版本</x:v>
      </x:c>
      <x:c r="O130" s="13" t="str">
        <x:v>job: queued/processing/completed/partial/failed；variant: queued/processing/completed/failed</x:v>
      </x:c>
      <x:c r="P130" s="13" t="str">
        <x:v>1–20主体、每主体3方案、余额不足、内容拦截、模型超时、部分成功、刷新恢复</x:v>
      </x:c>
      <x:c r="Q130" s="13" t="str">
        <x:v>仅本人查看任务与结果；Worker 使用服务端权限；平台API Key不下发前端</x:v>
      </x:c>
      <x:c r="R130" s="13" t="str">
        <x:v>创建+扣点同事务；每用户1个活动任务；队列重投跳过已完成variant；图片保留30天</x:v>
      </x:c>
    </x:row>
    <x:row r="131" ht="72" customHeight="1">
      <x:c r="A131" s="13" t="str">
        <x:v>第 3 期</x:v>
      </x:c>
      <x:c r="B131" s="13" t="str">
        <x:v>2. 图标设计与生成</x:v>
      </x:c>
      <x:c r="C131" s="13" t="str">
        <x:v>P3-FE-003</x:v>
      </x:c>
      <x:c r="D131" s="13" t="str">
        <x:v>删除账户 / 删除与数据导出页面</x:v>
      </x:c>
      <x:c r="E131" s="13" t="str">
        <x:v>P3-FE-003-03</x:v>
      </x:c>
      <x:c r="F131" s="13" t="str">
        <x:v>前端</x:v>
      </x:c>
      <x:c r="G131" s="13" t="str">
        <x:v>删除与数据导出页面：导出内容说明</x:v>
      </x:c>
      <x:c r="H131" s="13" t="str">
        <x:v>删除与数据导出页面：导出内容说明</x:v>
      </x:c>
      <x:c r="I131" s="13" t="str">
        <x:v>桌面和移动端可操作；正常、空、加载、失败和禁用状态完整；中英文文案可切换。</x:v>
      </x:c>
      <x:c r="J131" s="13" t="str">
        <x:v>P3-FE-003-02</x:v>
      </x:c>
      <x:c r="K131" s="13" t="str">
        <x:v>待完成</x:v>
      </x:c>
      <x:c r="L131" s="13" t="str">
        <x:v>09-20～09-22</x:v>
      </x:c>
      <x:c r="M131" s="13" t="str">
        <x:v>—</x:v>
      </x:c>
      <x:c r="N131" s="13" t="str">
        <x:v>job_id、subject_id、variant_id、asset_id 均为UUID；创建请求另带 idempotency_key；记录 settings/skill/model 版本</x:v>
      </x:c>
      <x:c r="O131" s="13" t="str">
        <x:v>job: queued/processing/completed/partial/failed；variant: queued/processing/completed/failed</x:v>
      </x:c>
      <x:c r="P131" s="13" t="str">
        <x:v>1–20主体、每主体3方案、余额不足、内容拦截、模型超时、部分成功、刷新恢复</x:v>
      </x:c>
      <x:c r="Q131" s="13" t="str">
        <x:v>仅本人查看任务与结果；Worker 使用服务端权限；平台API Key不下发前端</x:v>
      </x:c>
      <x:c r="R131" s="13" t="str">
        <x:v>创建+扣点同事务；每用户1个活动任务；队列重投跳过已完成variant；图片保留30天</x:v>
      </x:c>
    </x:row>
    <x:row r="132" ht="72" customHeight="1">
      <x:c r="A132" s="13" t="str">
        <x:v>第 3 期</x:v>
      </x:c>
      <x:c r="B132" s="13" t="str">
        <x:v>2. 图标设计与生成</x:v>
      </x:c>
      <x:c r="C132" s="13" t="str">
        <x:v>P3-FE-003</x:v>
      </x:c>
      <x:c r="D132" s="13" t="str">
        <x:v>删除账户 / 删除与数据导出页面</x:v>
      </x:c>
      <x:c r="E132" s="13" t="str">
        <x:v>P3-FE-003-04</x:v>
      </x:c>
      <x:c r="F132" s="13" t="str">
        <x:v>前端</x:v>
      </x:c>
      <x:c r="G132" s="13" t="str">
        <x:v>删除与数据导出页面：下载数据</x:v>
      </x:c>
      <x:c r="H132" s="13" t="str">
        <x:v>删除与数据导出页面：下载数据</x:v>
      </x:c>
      <x:c r="I132" s="13" t="str">
        <x:v>桌面和移动端可操作；正常、空、加载、失败和禁用状态完整；中英文文案可切换。</x:v>
      </x:c>
      <x:c r="J132" s="13" t="str">
        <x:v>P3-FE-003-03</x:v>
      </x:c>
      <x:c r="K132" s="13" t="str">
        <x:v>待完成</x:v>
      </x:c>
      <x:c r="L132" s="13" t="str">
        <x:v>09-20～09-22</x:v>
      </x:c>
      <x:c r="M132" s="13" t="str">
        <x:v>—</x:v>
      </x:c>
      <x:c r="N132" s="13" t="str">
        <x:v>job_id、subject_id、variant_id、asset_id 均为UUID；创建请求另带 idempotency_key；记录 settings/skill/model 版本</x:v>
      </x:c>
      <x:c r="O132" s="13" t="str">
        <x:v>job: queued/processing/completed/partial/failed；variant: queued/processing/completed/failed</x:v>
      </x:c>
      <x:c r="P132" s="13" t="str">
        <x:v>1–20主体、每主体3方案、余额不足、内容拦截、模型超时、部分成功、刷新恢复</x:v>
      </x:c>
      <x:c r="Q132" s="13" t="str">
        <x:v>仅本人查看任务与结果；Worker 使用服务端权限；平台API Key不下发前端</x:v>
      </x:c>
      <x:c r="R132" s="13" t="str">
        <x:v>创建+扣点同事务；每用户1个活动任务；队列重投跳过已完成variant；图片保留30天</x:v>
      </x:c>
    </x:row>
    <x:row r="133" ht="72" customHeight="1">
      <x:c r="A133" s="13" t="str">
        <x:v>第 3 期</x:v>
      </x:c>
      <x:c r="B133" s="13" t="str">
        <x:v>2. 图标设计与生成</x:v>
      </x:c>
      <x:c r="C133" s="13" t="str">
        <x:v>P3-FE-003</x:v>
      </x:c>
      <x:c r="D133" s="13" t="str">
        <x:v>删除账户 / 删除与数据导出页面</x:v>
      </x:c>
      <x:c r="E133" s="13" t="str">
        <x:v>P3-FE-003-05</x:v>
      </x:c>
      <x:c r="F133" s="13" t="str">
        <x:v>前端</x:v>
      </x:c>
      <x:c r="G133" s="13" t="str">
        <x:v>删除与数据导出页面：进度</x:v>
      </x:c>
      <x:c r="H133" s="13" t="str">
        <x:v>删除与数据导出页面：进度</x:v>
      </x:c>
      <x:c r="I133" s="13" t="str">
        <x:v>桌面和移动端可操作；正常、空、加载、失败和禁用状态完整；中英文文案可切换。</x:v>
      </x:c>
      <x:c r="J133" s="13" t="str">
        <x:v>P3-FE-003-04</x:v>
      </x:c>
      <x:c r="K133" s="13" t="str">
        <x:v>待完成</x:v>
      </x:c>
      <x:c r="L133" s="13" t="str">
        <x:v>09-20～09-22</x:v>
      </x:c>
      <x:c r="M133" s="13" t="str">
        <x:v>—</x:v>
      </x:c>
      <x:c r="N133" s="13" t="str">
        <x:v>job_id、subject_id、variant_id、asset_id 均为UUID；创建请求另带 idempotency_key；记录 settings/skill/model 版本</x:v>
      </x:c>
      <x:c r="O133" s="13" t="str">
        <x:v>job: queued/processing/completed/partial/failed；variant: queued/processing/completed/failed</x:v>
      </x:c>
      <x:c r="P133" s="13" t="str">
        <x:v>1–20主体、每主体3方案、余额不足、内容拦截、模型超时、部分成功、刷新恢复</x:v>
      </x:c>
      <x:c r="Q133" s="13" t="str">
        <x:v>仅本人查看任务与结果；Worker 使用服务端权限；平台API Key不下发前端</x:v>
      </x:c>
      <x:c r="R133" s="13" t="str">
        <x:v>创建+扣点同事务；每用户1个活动任务；队列重投跳过已完成variant；图片保留30天</x:v>
      </x:c>
    </x:row>
    <x:row r="134" ht="72" customHeight="1">
      <x:c r="A134" s="13" t="str">
        <x:v>第 3 期</x:v>
      </x:c>
      <x:c r="B134" s="13" t="str">
        <x:v>2. 图标设计与生成</x:v>
      </x:c>
      <x:c r="C134" s="13" t="str">
        <x:v>P3-FE-003</x:v>
      </x:c>
      <x:c r="D134" s="13" t="str">
        <x:v>删除账户 / 删除与数据导出页面</x:v>
      </x:c>
      <x:c r="E134" s="13" t="str">
        <x:v>P3-FE-003-06</x:v>
      </x:c>
      <x:c r="F134" s="13" t="str">
        <x:v>前端</x:v>
      </x:c>
      <x:c r="G134" s="13" t="str">
        <x:v>删除与数据导出页面：失败重试和撤销</x:v>
      </x:c>
      <x:c r="H134" s="13" t="str">
        <x:v>删除与数据导出页面：失败重试和撤销</x:v>
      </x:c>
      <x:c r="I134" s="13" t="str">
        <x:v>桌面和移动端可操作；正常、空、加载、失败和禁用状态完整；中英文文案可切换。</x:v>
      </x:c>
      <x:c r="J134" s="13" t="str">
        <x:v>P3-FE-003-05</x:v>
      </x:c>
      <x:c r="K134" s="13" t="str">
        <x:v>待完成</x:v>
      </x:c>
      <x:c r="L134" s="13" t="str">
        <x:v>09-20～09-22</x:v>
      </x:c>
      <x:c r="M134" s="13" t="str">
        <x:v>—</x:v>
      </x:c>
      <x:c r="N134" s="13" t="str">
        <x:v>job_id、subject_id、variant_id、asset_id 均为UUID；创建请求另带 idempotency_key；记录 settings/skill/model 版本</x:v>
      </x:c>
      <x:c r="O134" s="13" t="str">
        <x:v>job: queued/processing/completed/partial/failed；variant: queued/processing/completed/failed</x:v>
      </x:c>
      <x:c r="P134" s="13" t="str">
        <x:v>1–20主体、每主体3方案、余额不足、内容拦截、模型超时、部分成功、刷新恢复</x:v>
      </x:c>
      <x:c r="Q134" s="13" t="str">
        <x:v>仅本人查看任务与结果；Worker 使用服务端权限；平台API Key不下发前端</x:v>
      </x:c>
      <x:c r="R134" s="13" t="str">
        <x:v>创建+扣点同事务；每用户1个活动任务；队列重投跳过已完成variant；图片保留30天</x:v>
      </x:c>
    </x:row>
    <x:row r="135" ht="72" customHeight="1">
      <x:c r="A135" s="13" t="str">
        <x:v>第 3 期</x:v>
      </x:c>
      <x:c r="B135" s="13" t="str">
        <x:v>5. 最小运营支持</x:v>
      </x:c>
      <x:c r="C135" s="13" t="str">
        <x:v>P3-FE-004</x:v>
      </x:c>
      <x:c r="D135" s="13" t="str">
        <x:v>最小运营 / `/admin/operations`</x:v>
      </x:c>
      <x:c r="E135" s="13" t="str">
        <x:v>P3-FE-004-01</x:v>
      </x:c>
      <x:c r="F135" s="13" t="str">
        <x:v>前端</x:v>
      </x:c>
      <x:c r="G135" s="13" t="str">
        <x:v>单页四区</x:v>
      </x:c>
      <x:c r="H135" s="13" t="str">
        <x:v>单页四区</x:v>
      </x:c>
      <x:c r="I135" s="13" t="str">
        <x:v>桌面和移动端可操作；正常、空、加载、失败和禁用状态完整；中英文文案可切换。</x:v>
      </x:c>
      <x:c r="J135" s="13" t="str">
        <x:v>P3-BE-006</x:v>
      </x:c>
      <x:c r="K135" s="13" t="str">
        <x:v>待完成</x:v>
      </x:c>
      <x:c r="L135" s="13" t="str">
        <x:v>09-21～09-23</x:v>
      </x:c>
      <x:c r="M135" s="13" t="str">
        <x:v>—</x:v>
      </x:c>
      <x:c r="N135" s="13" t="str">
        <x:v>audit_id；actor_user_id；target_type+target_id；任务UUID或业务订单号</x:v>
      </x:c>
      <x:c r="O135" s="13" t="str">
        <x:v>操作 requested/succeeded/failed；业务对象状态仍遵循各自状态机</x:v>
      </x:c>
      <x:c r="P135" s="13" t="str">
        <x:v>管理员越权、重复重试、重复调点、目标不存在、外部服务仍处理中</x:v>
      </x:c>
      <x:c r="Q135" s="13" t="str">
        <x:v>RBAC/JWT Claim保护；查看与修改权限分离；所有人工变更记录原因和操作人</x:v>
      </x:c>
      <x:c r="R135" s="13" t="str">
        <x:v>重试/调点使用唯一业务键；审计不可由普通用户修改；管理审计不进入个人数据导出</x:v>
      </x:c>
    </x:row>
    <x:row r="136" ht="72" customHeight="1">
      <x:c r="A136" s="13" t="str">
        <x:v>第 3 期</x:v>
      </x:c>
      <x:c r="B136" s="13" t="str">
        <x:v>5. 最小运营支持</x:v>
      </x:c>
      <x:c r="C136" s="13" t="str">
        <x:v>P3-FE-004</x:v>
      </x:c>
      <x:c r="D136" s="13" t="str">
        <x:v>最小运营 / `/admin/operations`</x:v>
      </x:c>
      <x:c r="E136" s="13" t="str">
        <x:v>P3-FE-004-02</x:v>
      </x:c>
      <x:c r="F136" s="13" t="str">
        <x:v>前端</x:v>
      </x:c>
      <x:c r="G136" s="13" t="str">
        <x:v>`/admin/operations`：无完整后台</x:v>
      </x:c>
      <x:c r="H136" s="13" t="str">
        <x:v>`/admin/operations`：无完整后台</x:v>
      </x:c>
      <x:c r="I136" s="13" t="str">
        <x:v>桌面和移动端可操作；正常、空、加载、失败和禁用状态完整；中英文文案可切换。</x:v>
      </x:c>
      <x:c r="J136" s="13" t="str">
        <x:v>P3-FE-004-01</x:v>
      </x:c>
      <x:c r="K136" s="13" t="str">
        <x:v>待完成</x:v>
      </x:c>
      <x:c r="L136" s="13" t="str">
        <x:v>09-21～09-23</x:v>
      </x:c>
      <x:c r="M136" s="13" t="str">
        <x:v>—</x:v>
      </x:c>
      <x:c r="N136" s="13" t="str">
        <x:v>audit_id；actor_user_id；target_type+target_id；任务UUID或业务订单号</x:v>
      </x:c>
      <x:c r="O136" s="13" t="str">
        <x:v>操作 requested/succeeded/failed；业务对象状态仍遵循各自状态机</x:v>
      </x:c>
      <x:c r="P136" s="13" t="str">
        <x:v>管理员越权、重复重试、重复调点、目标不存在、外部服务仍处理中</x:v>
      </x:c>
      <x:c r="Q136" s="13" t="str">
        <x:v>RBAC/JWT Claim保护；查看与修改权限分离；所有人工变更记录原因和操作人</x:v>
      </x:c>
      <x:c r="R136" s="13" t="str">
        <x:v>重试/调点使用唯一业务键；审计不可由普通用户修改；管理审计不进入个人数据导出</x:v>
      </x:c>
    </x:row>
    <x:row r="137" ht="72" customHeight="1">
      <x:c r="A137" s="13" t="str">
        <x:v>第 3 期</x:v>
      </x:c>
      <x:c r="B137" s="13" t="str">
        <x:v>5. 最小运营支持</x:v>
      </x:c>
      <x:c r="C137" s="13" t="str">
        <x:v>P3-FE-004</x:v>
      </x:c>
      <x:c r="D137" s="13" t="str">
        <x:v>最小运营 / `/admin/operations`</x:v>
      </x:c>
      <x:c r="E137" s="13" t="str">
        <x:v>P3-FE-004-03</x:v>
      </x:c>
      <x:c r="F137" s="13" t="str">
        <x:v>前端</x:v>
      </x:c>
      <x:c r="G137" s="13" t="str">
        <x:v>`/admin/operations`：数据看板</x:v>
      </x:c>
      <x:c r="H137" s="13" t="str">
        <x:v>`/admin/operations`：数据看板</x:v>
      </x:c>
      <x:c r="I137" s="13" t="str">
        <x:v>桌面和移动端可操作；正常、空、加载、失败和禁用状态完整；中英文文案可切换。</x:v>
      </x:c>
      <x:c r="J137" s="13" t="str">
        <x:v>P3-FE-004-02</x:v>
      </x:c>
      <x:c r="K137" s="13" t="str">
        <x:v>待完成</x:v>
      </x:c>
      <x:c r="L137" s="13" t="str">
        <x:v>09-21～09-23</x:v>
      </x:c>
      <x:c r="M137" s="13" t="str">
        <x:v>—</x:v>
      </x:c>
      <x:c r="N137" s="13" t="str">
        <x:v>audit_id；actor_user_id；target_type+target_id；任务UUID或业务订单号</x:v>
      </x:c>
      <x:c r="O137" s="13" t="str">
        <x:v>操作 requested/succeeded/failed；业务对象状态仍遵循各自状态机</x:v>
      </x:c>
      <x:c r="P137" s="13" t="str">
        <x:v>管理员越权、重复重试、重复调点、目标不存在、外部服务仍处理中</x:v>
      </x:c>
      <x:c r="Q137" s="13" t="str">
        <x:v>RBAC/JWT Claim保护；查看与修改权限分离；所有人工变更记录原因和操作人</x:v>
      </x:c>
      <x:c r="R137" s="13" t="str">
        <x:v>重试/调点使用唯一业务键；审计不可由普通用户修改；管理审计不进入个人数据导出</x:v>
      </x:c>
    </x:row>
    <x:row r="138" ht="72" customHeight="1">
      <x:c r="A138" s="13" t="str">
        <x:v>第 3 期</x:v>
      </x:c>
      <x:c r="B138" s="13" t="str">
        <x:v>5. 最小运营支持</x:v>
      </x:c>
      <x:c r="C138" s="13" t="str">
        <x:v>P3-FE-004</x:v>
      </x:c>
      <x:c r="D138" s="13" t="str">
        <x:v>最小运营 / `/admin/operations`</x:v>
      </x:c>
      <x:c r="E138" s="13" t="str">
        <x:v>P3-FE-004-04</x:v>
      </x:c>
      <x:c r="F138" s="13" t="str">
        <x:v>前端</x:v>
      </x:c>
      <x:c r="G138" s="13" t="str">
        <x:v>`/admin/operations`：用户管理或设置编辑器</x:v>
      </x:c>
      <x:c r="H138" s="13" t="str">
        <x:v>`/admin/operations`：用户管理或设置编辑器</x:v>
      </x:c>
      <x:c r="I138" s="13" t="str">
        <x:v>桌面和移动端可操作；正常、空、加载、失败和禁用状态完整；中英文文案可切换。</x:v>
      </x:c>
      <x:c r="J138" s="13" t="str">
        <x:v>P3-FE-004-03</x:v>
      </x:c>
      <x:c r="K138" s="13" t="str">
        <x:v>待完成</x:v>
      </x:c>
      <x:c r="L138" s="13" t="str">
        <x:v>09-21～09-23</x:v>
      </x:c>
      <x:c r="M138" s="13" t="str">
        <x:v>—</x:v>
      </x:c>
      <x:c r="N138" s="13" t="str">
        <x:v>audit_id；actor_user_id；target_type+target_id；任务UUID或业务订单号</x:v>
      </x:c>
      <x:c r="O138" s="13" t="str">
        <x:v>操作 requested/succeeded/failed；业务对象状态仍遵循各自状态机</x:v>
      </x:c>
      <x:c r="P138" s="13" t="str">
        <x:v>管理员越权、重复重试、重复调点、目标不存在、外部服务仍处理中</x:v>
      </x:c>
      <x:c r="Q138" s="13" t="str">
        <x:v>RBAC/JWT Claim保护；查看与修改权限分离；所有人工变更记录原因和操作人</x:v>
      </x:c>
      <x:c r="R138" s="13" t="str">
        <x:v>重试/调点使用唯一业务键；审计不可由普通用户修改；管理审计不进入个人数据导出</x:v>
      </x:c>
    </x:row>
    <x:row r="139" ht="72" customHeight="1">
      <x:c r="A139" s="13" t="str">
        <x:v>第 3 期</x:v>
      </x:c>
      <x:c r="B139" s="13" t="str">
        <x:v>4. 点数与商业化</x:v>
      </x:c>
      <x:c r="C139" s="13" t="str">
        <x:v>P3-INF-003</x:v>
      </x:c>
      <x:c r="D139" s="13" t="str">
        <x:v>安全 / 生产安全检查</x:v>
      </x:c>
      <x:c r="E139" s="13" t="str">
        <x:v>P3-INF-003-01</x:v>
      </x:c>
      <x:c r="F139" s="13" t="str">
        <x:v>前端（共享任务）</x:v>
      </x:c>
      <x:c r="G139" s="13" t="str">
        <x:v>生产安全检查：RLS 越权</x:v>
      </x:c>
      <x:c r="H139" s="13" t="str">
        <x:v>生产安全检查：RLS 越权</x:v>
      </x:c>
      <x:c r="I139" s="13" t="str">
        <x:v>允许与拒绝场景均有自动化测试；敏感信息不进入浏览器、日志或导出文件。</x:v>
      </x:c>
      <x:c r="J139" s="13" t="str">
        <x:v>—</x:v>
      </x:c>
      <x:c r="K139" s="13" t="str">
        <x:v>待完成</x:v>
      </x:c>
      <x:c r="L139" s="13" t="str">
        <x:v>09-24～09-25</x:v>
      </x:c>
      <x:c r="M139" s="13" t="str">
        <x:v>—</x:v>
      </x:c>
      <x:c r="N139" s="13" t="str">
        <x:v>order id(UUID)+order_number(后端生成)；ledger_id(UUID)；Stripe session/payment/event ID；package/pricing version</x:v>
      </x:c>
      <x:c r="O139" s="13" t="str">
        <x:v>order: pending/paid/canceled/expired/failed/refunded；账本记录不可变，余额为快照</x:v>
      </x:c>
      <x:c r="P139" s="13" t="str">
        <x:v>套餐停用/改价、重复点击、Checkout失败、Webhook重复/乱序/伪造、金额币种不一致、退款争议</x:v>
      </x:c>
      <x:c r="Q139" s="13" t="str">
        <x:v>用户只读本人订单/账本；只有验签Webhook可入账；管理员调点需授权和审计</x:v>
      </x:c>
      <x:c r="R139" s="13" t="str">
        <x:v>(user_id,idempotency_key)防重复下单；Event ID去重；订单行锁原子入账；订单/账本进入个人数据导出</x:v>
      </x:c>
    </x:row>
    <x:row r="140" ht="72" customHeight="1">
      <x:c r="A140" s="13" t="str">
        <x:v>第 3 期</x:v>
      </x:c>
      <x:c r="B140" s="13" t="str">
        <x:v>4. 点数与商业化</x:v>
      </x:c>
      <x:c r="C140" s="13" t="str">
        <x:v>P3-INF-003</x:v>
      </x:c>
      <x:c r="D140" s="13" t="str">
        <x:v>安全 / 生产安全检查</x:v>
      </x:c>
      <x:c r="E140" s="13" t="str">
        <x:v>P3-INF-003-02</x:v>
      </x:c>
      <x:c r="F140" s="13" t="str">
        <x:v>前端（共享任务）</x:v>
      </x:c>
      <x:c r="G140" s="13" t="str">
        <x:v>生产安全检查：Webhook 伪造</x:v>
      </x:c>
      <x:c r="H140" s="13" t="str">
        <x:v>生产安全检查：Webhook 伪造</x:v>
      </x:c>
      <x:c r="I140" s="13" t="str">
        <x:v>允许与拒绝场景均有自动化测试；敏感信息不进入浏览器、日志或导出文件。</x:v>
      </x:c>
      <x:c r="J140" s="13" t="str">
        <x:v>P3-INF-003-01</x:v>
      </x:c>
      <x:c r="K140" s="13" t="str">
        <x:v>待完成</x:v>
      </x:c>
      <x:c r="L140" s="13" t="str">
        <x:v>09-24～09-25</x:v>
      </x:c>
      <x:c r="M140" s="13" t="str">
        <x:v>—</x:v>
      </x:c>
      <x:c r="N140" s="13" t="str">
        <x:v>order id(UUID)+order_number(后端生成)；ledger_id(UUID)；Stripe session/payment/event ID；package/pricing version</x:v>
      </x:c>
      <x:c r="O140" s="13" t="str">
        <x:v>order: pending/paid/canceled/expired/failed/refunded；账本记录不可变，余额为快照</x:v>
      </x:c>
      <x:c r="P140" s="13" t="str">
        <x:v>套餐停用/改价、重复点击、Checkout失败、Webhook重复/乱序/伪造、金额币种不一致、退款争议</x:v>
      </x:c>
      <x:c r="Q140" s="13" t="str">
        <x:v>用户只读本人订单/账本；只有验签Webhook可入账；管理员调点需授权和审计</x:v>
      </x:c>
      <x:c r="R140" s="13" t="str">
        <x:v>(user_id,idempotency_key)防重复下单；Event ID去重；订单行锁原子入账；订单/账本进入个人数据导出</x:v>
      </x:c>
    </x:row>
    <x:row r="141" ht="72" customHeight="1">
      <x:c r="A141" s="13" t="str">
        <x:v>第 3 期</x:v>
      </x:c>
      <x:c r="B141" s="13" t="str">
        <x:v>4. 点数与商业化</x:v>
      </x:c>
      <x:c r="C141" s="13" t="str">
        <x:v>P3-INF-003</x:v>
      </x:c>
      <x:c r="D141" s="13" t="str">
        <x:v>安全 / 生产安全检查</x:v>
      </x:c>
      <x:c r="E141" s="13" t="str">
        <x:v>P3-INF-003-03</x:v>
      </x:c>
      <x:c r="F141" s="13" t="str">
        <x:v>前端（共享任务）</x:v>
      </x:c>
      <x:c r="G141" s="13" t="str">
        <x:v>生产安全检查：幂等</x:v>
      </x:c>
      <x:c r="H141" s="13" t="str">
        <x:v>生产安全检查：幂等</x:v>
      </x:c>
      <x:c r="I141" s="13" t="str">
        <x:v>允许与拒绝场景均有自动化测试；敏感信息不进入浏览器、日志或导出文件。</x:v>
      </x:c>
      <x:c r="J141" s="13" t="str">
        <x:v>P3-INF-003-02</x:v>
      </x:c>
      <x:c r="K141" s="13" t="str">
        <x:v>待完成</x:v>
      </x:c>
      <x:c r="L141" s="13" t="str">
        <x:v>09-24～09-25</x:v>
      </x:c>
      <x:c r="M141" s="13" t="str">
        <x:v>—</x:v>
      </x:c>
      <x:c r="N141" s="13" t="str">
        <x:v>order id(UUID)+order_number(后端生成)；ledger_id(UUID)；Stripe session/payment/event ID；package/pricing version</x:v>
      </x:c>
      <x:c r="O141" s="13" t="str">
        <x:v>order: pending/paid/canceled/expired/failed/refunded；账本记录不可变，余额为快照</x:v>
      </x:c>
      <x:c r="P141" s="13" t="str">
        <x:v>套餐停用/改价、重复点击、Checkout失败、Webhook重复/乱序/伪造、金额币种不一致、退款争议</x:v>
      </x:c>
      <x:c r="Q141" s="13" t="str">
        <x:v>用户只读本人订单/账本；只有验签Webhook可入账；管理员调点需授权和审计</x:v>
      </x:c>
      <x:c r="R141" s="13" t="str">
        <x:v>(user_id,idempotency_key)防重复下单；Event ID去重；订单行锁原子入账；订单/账本进入个人数据导出</x:v>
      </x:c>
    </x:row>
    <x:row r="142" ht="72" customHeight="1">
      <x:c r="A142" s="13" t="str">
        <x:v>第 3 期</x:v>
      </x:c>
      <x:c r="B142" s="13" t="str">
        <x:v>4. 点数与商业化</x:v>
      </x:c>
      <x:c r="C142" s="13" t="str">
        <x:v>P3-INF-003</x:v>
      </x:c>
      <x:c r="D142" s="13" t="str">
        <x:v>安全 / 生产安全检查</x:v>
      </x:c>
      <x:c r="E142" s="13" t="str">
        <x:v>P3-INF-003-04</x:v>
      </x:c>
      <x:c r="F142" s="13" t="str">
        <x:v>前端（共享任务）</x:v>
      </x:c>
      <x:c r="G142" s="13" t="str">
        <x:v>生产安全检查：密钥泄漏</x:v>
      </x:c>
      <x:c r="H142" s="13" t="str">
        <x:v>生产安全检查：密钥泄漏</x:v>
      </x:c>
      <x:c r="I142" s="13" t="str">
        <x:v>允许与拒绝场景均有自动化测试；敏感信息不进入浏览器、日志或导出文件。</x:v>
      </x:c>
      <x:c r="J142" s="13" t="str">
        <x:v>P3-INF-003-03</x:v>
      </x:c>
      <x:c r="K142" s="13" t="str">
        <x:v>待完成</x:v>
      </x:c>
      <x:c r="L142" s="13" t="str">
        <x:v>09-24～09-25</x:v>
      </x:c>
      <x:c r="M142" s="13" t="str">
        <x:v>—</x:v>
      </x:c>
      <x:c r="N142" s="13" t="str">
        <x:v>order id(UUID)+order_number(后端生成)；ledger_id(UUID)；Stripe session/payment/event ID；package/pricing version</x:v>
      </x:c>
      <x:c r="O142" s="13" t="str">
        <x:v>order: pending/paid/canceled/expired/failed/refunded；账本记录不可变，余额为快照</x:v>
      </x:c>
      <x:c r="P142" s="13" t="str">
        <x:v>套餐停用/改价、重复点击、Checkout失败、Webhook重复/乱序/伪造、金额币种不一致、退款争议</x:v>
      </x:c>
      <x:c r="Q142" s="13" t="str">
        <x:v>用户只读本人订单/账本；只有验签Webhook可入账；管理员调点需授权和审计</x:v>
      </x:c>
      <x:c r="R142" s="13" t="str">
        <x:v>(user_id,idempotency_key)防重复下单；Event ID去重；订单行锁原子入账；订单/账本进入个人数据导出</x:v>
      </x:c>
    </x:row>
    <x:row r="143" ht="72" customHeight="1">
      <x:c r="A143" s="13" t="str">
        <x:v>第 3 期</x:v>
      </x:c>
      <x:c r="B143" s="13" t="str">
        <x:v>4. 点数与商业化</x:v>
      </x:c>
      <x:c r="C143" s="13" t="str">
        <x:v>P3-INF-003</x:v>
      </x:c>
      <x:c r="D143" s="13" t="str">
        <x:v>安全 / 生产安全检查</x:v>
      </x:c>
      <x:c r="E143" s="13" t="str">
        <x:v>P3-INF-003-05</x:v>
      </x:c>
      <x:c r="F143" s="13" t="str">
        <x:v>前端（共享任务）</x:v>
      </x:c>
      <x:c r="G143" s="13" t="str">
        <x:v>生产安全检查：内容政策和速率限制</x:v>
      </x:c>
      <x:c r="H143" s="13" t="str">
        <x:v>生产安全检查：内容政策和速率限制</x:v>
      </x:c>
      <x:c r="I143" s="13" t="str">
        <x:v>允许与拒绝场景均有自动化测试；敏感信息不进入浏览器、日志或导出文件。</x:v>
      </x:c>
      <x:c r="J143" s="13" t="str">
        <x:v>P3-INF-003-04</x:v>
      </x:c>
      <x:c r="K143" s="13" t="str">
        <x:v>待完成</x:v>
      </x:c>
      <x:c r="L143" s="13" t="str">
        <x:v>09-24～09-25</x:v>
      </x:c>
      <x:c r="M143" s="13" t="str">
        <x:v>—</x:v>
      </x:c>
      <x:c r="N143" s="13" t="str">
        <x:v>order id(UUID)+order_number(后端生成)；ledger_id(UUID)；Stripe session/payment/event ID；package/pricing version</x:v>
      </x:c>
      <x:c r="O143" s="13" t="str">
        <x:v>order: pending/paid/canceled/expired/failed/refunded；账本记录不可变，余额为快照</x:v>
      </x:c>
      <x:c r="P143" s="13" t="str">
        <x:v>套餐停用/改价、重复点击、Checkout失败、Webhook重复/乱序/伪造、金额币种不一致、退款争议</x:v>
      </x:c>
      <x:c r="Q143" s="13" t="str">
        <x:v>用户只读本人订单/账本；只有验签Webhook可入账；管理员调点需授权和审计</x:v>
      </x:c>
      <x:c r="R143" s="13" t="str">
        <x:v>(user_id,idempotency_key)防重复下单；Event ID去重；订单行锁原子入账；订单/账本进入个人数据导出</x:v>
      </x:c>
    </x:row>
    <x:row r="144" ht="72" customHeight="1">
      <x:c r="A144" s="13" t="str">
        <x:v>第 3 期</x:v>
      </x:c>
      <x:c r="B144" s="13" t="str">
        <x:v>6. 平台、工程与上线</x:v>
      </x:c>
      <x:c r="C144" s="13" t="str">
        <x:v>P3-DOC-001</x:v>
      </x:c>
      <x:c r="D144" s="13" t="str">
        <x:v>上线资料 / 法务与支持配置</x:v>
      </x:c>
      <x:c r="E144" s="13" t="str">
        <x:v>P3-DOC-001-01</x:v>
      </x:c>
      <x:c r="F144" s="13" t="str">
        <x:v>前端（共享任务）</x:v>
      </x:c>
      <x:c r="G144" s="13" t="str">
        <x:v>法务与支持配置：Terms</x:v>
      </x:c>
      <x:c r="H144" s="13" t="str">
        <x:v>法务与支持配置：Terms</x:v>
      </x:c>
      <x:c r="I144" s="13" t="str">
        <x:v>桌面和移动端可操作；正常、空、加载、失败和禁用状态完整；中英文文案可切换。</x:v>
      </x:c>
      <x:c r="J144" s="13" t="str">
        <x:v>—</x:v>
      </x:c>
      <x:c r="K144" s="13" t="str">
        <x:v>待完成</x:v>
      </x:c>
      <x:c r="L144" s="13" t="str">
        <x:v>09-24～09-25</x:v>
      </x:c>
      <x:c r="M144" s="13" t="str">
        <x:v>—</x:v>
      </x:c>
      <x:c r="N144" s="13" t="str">
        <x:v>配置版本、Skill版本、模型名、部署版本、provider request ID和环境标识</x:v>
      </x:c>
      <x:c r="O144" s="13" t="str">
        <x:v>部署/服务 health状态；配置启用/停用；队列消息 queued/processing/DLQ</x:v>
      </x:c>
      <x:c r="P144" s="13" t="str">
        <x:v>配置缺失、密钥无效、限流、部署失败、队列积压、定时任务重复执行</x:v>
      </x:c>
      <x:c r="Q144" s="13" t="str">
        <x:v>环境与密钥隔离；最小权限；生产操作留审计；日志脱敏</x:v>
      </x:c>
      <x:c r="R144" s="13" t="str">
        <x:v>部署可回滚；Worker/清理任务可重入；密钥不入库不导出；日志按合规期限保留</x:v>
      </x:c>
    </x:row>
    <x:row r="145" ht="72" customHeight="1">
      <x:c r="A145" s="13" t="str">
        <x:v>第 3 期</x:v>
      </x:c>
      <x:c r="B145" s="13" t="str">
        <x:v>6. 平台、工程与上线</x:v>
      </x:c>
      <x:c r="C145" s="13" t="str">
        <x:v>P3-DOC-001</x:v>
      </x:c>
      <x:c r="D145" s="13" t="str">
        <x:v>上线资料 / 法务与支持配置</x:v>
      </x:c>
      <x:c r="E145" s="13" t="str">
        <x:v>P3-DOC-001-02</x:v>
      </x:c>
      <x:c r="F145" s="13" t="str">
        <x:v>前端（共享任务）</x:v>
      </x:c>
      <x:c r="G145" s="13" t="str">
        <x:v>法务与支持配置：Privacy</x:v>
      </x:c>
      <x:c r="H145" s="13" t="str">
        <x:v>法务与支持配置：Privacy</x:v>
      </x:c>
      <x:c r="I145" s="13" t="str">
        <x:v>桌面和移动端可操作；正常、空、加载、失败和禁用状态完整；中英文文案可切换。</x:v>
      </x:c>
      <x:c r="J145" s="13" t="str">
        <x:v>P3-DOC-001-01</x:v>
      </x:c>
      <x:c r="K145" s="13" t="str">
        <x:v>待完成</x:v>
      </x:c>
      <x:c r="L145" s="13" t="str">
        <x:v>09-24～09-25</x:v>
      </x:c>
      <x:c r="M145" s="13" t="str">
        <x:v>—</x:v>
      </x:c>
      <x:c r="N145" s="13" t="str">
        <x:v>配置版本、Skill版本、模型名、部署版本、provider request ID和环境标识</x:v>
      </x:c>
      <x:c r="O145" s="13" t="str">
        <x:v>部署/服务 health状态；配置启用/停用；队列消息 queued/processing/DLQ</x:v>
      </x:c>
      <x:c r="P145" s="13" t="str">
        <x:v>配置缺失、密钥无效、限流、部署失败、队列积压、定时任务重复执行</x:v>
      </x:c>
      <x:c r="Q145" s="13" t="str">
        <x:v>环境与密钥隔离；最小权限；生产操作留审计；日志脱敏</x:v>
      </x:c>
      <x:c r="R145" s="13" t="str">
        <x:v>部署可回滚；Worker/清理任务可重入；密钥不入库不导出；日志按合规期限保留</x:v>
      </x:c>
    </x:row>
    <x:row r="146" ht="72" customHeight="1">
      <x:c r="A146" s="13" t="str">
        <x:v>第 3 期</x:v>
      </x:c>
      <x:c r="B146" s="13" t="str">
        <x:v>6. 平台、工程与上线</x:v>
      </x:c>
      <x:c r="C146" s="13" t="str">
        <x:v>P3-DOC-001</x:v>
      </x:c>
      <x:c r="D146" s="13" t="str">
        <x:v>上线资料 / 法务与支持配置</x:v>
      </x:c>
      <x:c r="E146" s="13" t="str">
        <x:v>P3-DOC-001-03</x:v>
      </x:c>
      <x:c r="F146" s="13" t="str">
        <x:v>前端（共享任务）</x:v>
      </x:c>
      <x:c r="G146" s="13" t="str">
        <x:v>法务与支持配置：Refund</x:v>
      </x:c>
      <x:c r="H146" s="13" t="str">
        <x:v>法务与支持配置：Refund</x:v>
      </x:c>
      <x:c r="I146" s="13" t="str">
        <x:v>桌面和移动端可操作；正常、空、加载、失败和禁用状态完整；中英文文案可切换。</x:v>
      </x:c>
      <x:c r="J146" s="13" t="str">
        <x:v>P3-DOC-001-02</x:v>
      </x:c>
      <x:c r="K146" s="13" t="str">
        <x:v>待完成</x:v>
      </x:c>
      <x:c r="L146" s="13" t="str">
        <x:v>09-24～09-25</x:v>
      </x:c>
      <x:c r="M146" s="13" t="str">
        <x:v>—</x:v>
      </x:c>
      <x:c r="N146" s="13" t="str">
        <x:v>配置版本、Skill版本、模型名、部署版本、provider request ID和环境标识</x:v>
      </x:c>
      <x:c r="O146" s="13" t="str">
        <x:v>部署/服务 health状态；配置启用/停用；队列消息 queued/processing/DLQ</x:v>
      </x:c>
      <x:c r="P146" s="13" t="str">
        <x:v>配置缺失、密钥无效、限流、部署失败、队列积压、定时任务重复执行</x:v>
      </x:c>
      <x:c r="Q146" s="13" t="str">
        <x:v>环境与密钥隔离；最小权限；生产操作留审计；日志脱敏</x:v>
      </x:c>
      <x:c r="R146" s="13" t="str">
        <x:v>部署可回滚；Worker/清理任务可重入；密钥不入库不导出；日志按合规期限保留</x:v>
      </x:c>
    </x:row>
    <x:row r="147" ht="72" customHeight="1">
      <x:c r="A147" s="13" t="str">
        <x:v>第 3 期</x:v>
      </x:c>
      <x:c r="B147" s="13" t="str">
        <x:v>6. 平台、工程与上线</x:v>
      </x:c>
      <x:c r="C147" s="13" t="str">
        <x:v>P3-DOC-001</x:v>
      </x:c>
      <x:c r="D147" s="13" t="str">
        <x:v>上线资料 / 法务与支持配置</x:v>
      </x:c>
      <x:c r="E147" s="13" t="str">
        <x:v>P3-DOC-001-04</x:v>
      </x:c>
      <x:c r="F147" s="13" t="str">
        <x:v>前端（共享任务）</x:v>
      </x:c>
      <x:c r="G147" s="13" t="str">
        <x:v>法务与支持配置：支持邮箱</x:v>
      </x:c>
      <x:c r="H147" s="13" t="str">
        <x:v>法务与支持配置：支持邮箱</x:v>
      </x:c>
      <x:c r="I147" s="13" t="str">
        <x:v>桌面和移动端可操作；正常、空、加载、失败和禁用状态完整；中英文文案可切换。</x:v>
      </x:c>
      <x:c r="J147" s="13" t="str">
        <x:v>P3-DOC-001-03</x:v>
      </x:c>
      <x:c r="K147" s="13" t="str">
        <x:v>待完成</x:v>
      </x:c>
      <x:c r="L147" s="13" t="str">
        <x:v>09-24～09-25</x:v>
      </x:c>
      <x:c r="M147" s="13" t="str">
        <x:v>—</x:v>
      </x:c>
      <x:c r="N147" s="13" t="str">
        <x:v>配置版本、Skill版本、模型名、部署版本、provider request ID和环境标识</x:v>
      </x:c>
      <x:c r="O147" s="13" t="str">
        <x:v>部署/服务 health状态；配置启用/停用；队列消息 queued/processing/DLQ</x:v>
      </x:c>
      <x:c r="P147" s="13" t="str">
        <x:v>配置缺失、密钥无效、限流、部署失败、队列积压、定时任务重复执行</x:v>
      </x:c>
      <x:c r="Q147" s="13" t="str">
        <x:v>环境与密钥隔离；最小权限；生产操作留审计；日志脱敏</x:v>
      </x:c>
      <x:c r="R147" s="13" t="str">
        <x:v>部署可回滚；Worker/清理任务可重入；密钥不入库不导出；日志按合规期限保留</x:v>
      </x:c>
    </x:row>
    <x:row r="148" ht="72" customHeight="1">
      <x:c r="A148" s="13" t="str">
        <x:v>第 3 期</x:v>
      </x:c>
      <x:c r="B148" s="13" t="str">
        <x:v>6. 平台、工程与上线</x:v>
      </x:c>
      <x:c r="C148" s="13" t="str">
        <x:v>P3-DOC-001</x:v>
      </x:c>
      <x:c r="D148" s="13" t="str">
        <x:v>上线资料 / 法务与支持配置</x:v>
      </x:c>
      <x:c r="E148" s="13" t="str">
        <x:v>P3-DOC-001-05</x:v>
      </x:c>
      <x:c r="F148" s="13" t="str">
        <x:v>前端（共享任务）</x:v>
      </x:c>
      <x:c r="G148" s="13" t="str">
        <x:v>法务与支持配置：经营主体和 Cookie 决策</x:v>
      </x:c>
      <x:c r="H148" s="13" t="str">
        <x:v>法务与支持配置：经营主体和 Cookie 决策</x:v>
      </x:c>
      <x:c r="I148" s="13" t="str">
        <x:v>桌面和移动端可操作；正常、空、加载、失败和禁用状态完整；中英文文案可切换。</x:v>
      </x:c>
      <x:c r="J148" s="13" t="str">
        <x:v>P3-DOC-001-04</x:v>
      </x:c>
      <x:c r="K148" s="13" t="str">
        <x:v>待完成</x:v>
      </x:c>
      <x:c r="L148" s="13" t="str">
        <x:v>09-24～09-25</x:v>
      </x:c>
      <x:c r="M148" s="13" t="str">
        <x:v>—</x:v>
      </x:c>
      <x:c r="N148" s="13" t="str">
        <x:v>配置版本、Skill版本、模型名、部署版本、provider request ID和环境标识</x:v>
      </x:c>
      <x:c r="O148" s="13" t="str">
        <x:v>部署/服务 health状态；配置启用/停用；队列消息 queued/processing/DLQ</x:v>
      </x:c>
      <x:c r="P148" s="13" t="str">
        <x:v>配置缺失、密钥无效、限流、部署失败、队列积压、定时任务重复执行</x:v>
      </x:c>
      <x:c r="Q148" s="13" t="str">
        <x:v>环境与密钥隔离；最小权限；生产操作留审计；日志脱敏</x:v>
      </x:c>
      <x:c r="R148" s="13" t="str">
        <x:v>部署可回滚；Worker/清理任务可重入；密钥不入库不导出；日志按合规期限保留</x:v>
      </x:c>
    </x:row>
    <x:row r="149" ht="72" customHeight="1">
      <x:c r="A149" s="13" t="str">
        <x:v>第 3 期</x:v>
      </x:c>
      <x:c r="B149" s="13" t="str">
        <x:v>2. 图标设计与生成</x:v>
      </x:c>
      <x:c r="C149" s="13" t="str">
        <x:v>P3-QA-001</x:v>
      </x:c>
      <x:c r="D149" s="13" t="str">
        <x:v>E2E / 完整商业闭环</x:v>
      </x:c>
      <x:c r="E149" s="13" t="str">
        <x:v>P3-QA-001-01</x:v>
      </x:c>
      <x:c r="F149" s="13" t="str">
        <x:v>前端（共享任务）</x:v>
      </x:c>
      <x:c r="G149" s="13" t="str">
        <x:v>注册送 6 点→生成→单图/ZIP→购买→再次生成→删除账户导出并核对资料/订单/账本/摘要/PNG</x:v>
      </x:c>
      <x:c r="H149" s="13" t="str">
        <x:v>注册送 6 点→生成→单图/ZIP→购买→再次生成→删除账户导出并核对资料/订单/账本/摘要/PNG</x:v>
      </x:c>
      <x:c r="I149" s="13" t="str">
        <x:v>桌面和移动端可操作；正常、空、加载、失败和禁用状态完整；中英文文案可切换。</x:v>
      </x:c>
      <x:c r="J149" s="13" t="str">
        <x:v>—</x:v>
      </x:c>
      <x:c r="K149" s="13" t="str">
        <x:v>待完成</x:v>
      </x:c>
      <x:c r="L149" s="13" t="str">
        <x:v>09-25～09-26</x:v>
      </x:c>
      <x:c r="M149" s="13" t="str">
        <x:v>—</x:v>
      </x:c>
      <x:c r="N149" s="13" t="str">
        <x:v>job_id、subject_id、variant_id、asset_id 均为UUID；创建请求另带 idempotency_key；记录 settings/skill/model 版本</x:v>
      </x:c>
      <x:c r="O149" s="13" t="str">
        <x:v>job: queued/processing/completed/partial/failed；variant: queued/processing/completed/failed</x:v>
      </x:c>
      <x:c r="P149" s="13" t="str">
        <x:v>1–20主体、每主体3方案、余额不足、内容拦截、模型超时、部分成功、刷新恢复</x:v>
      </x:c>
      <x:c r="Q149" s="13" t="str">
        <x:v>仅本人查看任务与结果；Worker 使用服务端权限；平台API Key不下发前端</x:v>
      </x:c>
      <x:c r="R149" s="13" t="str">
        <x:v>创建+扣点同事务；每用户1个活动任务；队列重投跳过已完成variant；图片保留30天</x:v>
      </x:c>
    </x:row>
    <x:row r="150" ht="72" customHeight="1">
      <x:c r="A150" s="13" t="str">
        <x:v>第 3 期</x:v>
      </x:c>
      <x:c r="B150" s="13" t="str">
        <x:v>6. 平台、工程与上线</x:v>
      </x:c>
      <x:c r="C150" s="13" t="str">
        <x:v>P3-QA-002</x:v>
      </x:c>
      <x:c r="D150" s="13" t="str">
        <x:v>发布 / 上线验收</x:v>
      </x:c>
      <x:c r="E150" s="13" t="str">
        <x:v>P3-QA-002-01</x:v>
      </x:c>
      <x:c r="F150" s="13" t="str">
        <x:v>前端（共享任务）</x:v>
      </x:c>
      <x:c r="G150" s="13" t="str">
        <x:v>上线验收：桌面/移动端</x:v>
      </x:c>
      <x:c r="H150" s="13" t="str">
        <x:v>上线验收：桌面/移动端</x:v>
      </x:c>
      <x:c r="I150" s="13" t="str">
        <x:v>桌面和移动端可操作；正常、空、加载、失败和禁用状态完整；中英文文案可切换。</x:v>
      </x:c>
      <x:c r="J150" s="13" t="str">
        <x:v>—</x:v>
      </x:c>
      <x:c r="K150" s="13" t="str">
        <x:v>待完成</x:v>
      </x:c>
      <x:c r="L150" s="13" t="str">
        <x:v>09-26～09-27</x:v>
      </x:c>
      <x:c r="M150" s="13" t="str">
        <x:v>—</x:v>
      </x:c>
      <x:c r="N150" s="13" t="str">
        <x:v>配置版本、Skill版本、模型名、部署版本、provider request ID和环境标识</x:v>
      </x:c>
      <x:c r="O150" s="13" t="str">
        <x:v>部署/服务 health状态；配置启用/停用；队列消息 queued/processing/DLQ</x:v>
      </x:c>
      <x:c r="P150" s="13" t="str">
        <x:v>配置缺失、密钥无效、限流、部署失败、队列积压、定时任务重复执行</x:v>
      </x:c>
      <x:c r="Q150" s="13" t="str">
        <x:v>环境与密钥隔离；最小权限；生产操作留审计；日志脱敏</x:v>
      </x:c>
      <x:c r="R150" s="13" t="str">
        <x:v>部署可回滚；Worker/清理任务可重入；密钥不入库不导出；日志按合规期限保留</x:v>
      </x:c>
    </x:row>
    <x:row r="151" ht="72" customHeight="1">
      <x:c r="A151" s="13" t="str">
        <x:v>第 3 期</x:v>
      </x:c>
      <x:c r="B151" s="13" t="str">
        <x:v>6. 平台、工程与上线</x:v>
      </x:c>
      <x:c r="C151" s="13" t="str">
        <x:v>P3-QA-002</x:v>
      </x:c>
      <x:c r="D151" s="13" t="str">
        <x:v>发布 / 上线验收</x:v>
      </x:c>
      <x:c r="E151" s="13" t="str">
        <x:v>P3-QA-002-02</x:v>
      </x:c>
      <x:c r="F151" s="13" t="str">
        <x:v>前端（共享任务）</x:v>
      </x:c>
      <x:c r="G151" s="13" t="str">
        <x:v>上线验收：中英文</x:v>
      </x:c>
      <x:c r="H151" s="13" t="str">
        <x:v>上线验收：中英文</x:v>
      </x:c>
      <x:c r="I151" s="13" t="str">
        <x:v>桌面和移动端可操作；正常、空、加载、失败和禁用状态完整；中英文文案可切换。</x:v>
      </x:c>
      <x:c r="J151" s="13" t="str">
        <x:v>P3-QA-002-01</x:v>
      </x:c>
      <x:c r="K151" s="13" t="str">
        <x:v>待完成</x:v>
      </x:c>
      <x:c r="L151" s="13" t="str">
        <x:v>09-26～09-27</x:v>
      </x:c>
      <x:c r="M151" s="13" t="str">
        <x:v>—</x:v>
      </x:c>
      <x:c r="N151" s="13" t="str">
        <x:v>配置版本、Skill版本、模型名、部署版本、provider request ID和环境标识</x:v>
      </x:c>
      <x:c r="O151" s="13" t="str">
        <x:v>部署/服务 health状态；配置启用/停用；队列消息 queued/processing/DLQ</x:v>
      </x:c>
      <x:c r="P151" s="13" t="str">
        <x:v>配置缺失、密钥无效、限流、部署失败、队列积压、定时任务重复执行</x:v>
      </x:c>
      <x:c r="Q151" s="13" t="str">
        <x:v>环境与密钥隔离；最小权限；生产操作留审计；日志脱敏</x:v>
      </x:c>
      <x:c r="R151" s="13" t="str">
        <x:v>部署可回滚；Worker/清理任务可重入；密钥不入库不导出；日志按合规期限保留</x:v>
      </x:c>
    </x:row>
    <x:row r="152" ht="72" customHeight="1">
      <x:c r="A152" s="13" t="str">
        <x:v>第 3 期</x:v>
      </x:c>
      <x:c r="B152" s="13" t="str">
        <x:v>6. 平台、工程与上线</x:v>
      </x:c>
      <x:c r="C152" s="13" t="str">
        <x:v>P3-QA-002</x:v>
      </x:c>
      <x:c r="D152" s="13" t="str">
        <x:v>发布 / 上线验收</x:v>
      </x:c>
      <x:c r="E152" s="13" t="str">
        <x:v>P3-QA-002-03</x:v>
      </x:c>
      <x:c r="F152" s="13" t="str">
        <x:v>前端（共享任务）</x:v>
      </x:c>
      <x:c r="G152" s="13" t="str">
        <x:v>上线验收：可访问性</x:v>
      </x:c>
      <x:c r="H152" s="13" t="str">
        <x:v>上线验收：可访问性</x:v>
      </x:c>
      <x:c r="I152" s="13" t="str">
        <x:v>桌面和移动端可操作；正常、空、加载、失败和禁用状态完整；中英文文案可切换。</x:v>
      </x:c>
      <x:c r="J152" s="13" t="str">
        <x:v>P3-QA-002-02</x:v>
      </x:c>
      <x:c r="K152" s="13" t="str">
        <x:v>待完成</x:v>
      </x:c>
      <x:c r="L152" s="13" t="str">
        <x:v>09-26～09-27</x:v>
      </x:c>
      <x:c r="M152" s="13" t="str">
        <x:v>—</x:v>
      </x:c>
      <x:c r="N152" s="13" t="str">
        <x:v>配置版本、Skill版本、模型名、部署版本、provider request ID和环境标识</x:v>
      </x:c>
      <x:c r="O152" s="13" t="str">
        <x:v>部署/服务 health状态；配置启用/停用；队列消息 queued/processing/DLQ</x:v>
      </x:c>
      <x:c r="P152" s="13" t="str">
        <x:v>配置缺失、密钥无效、限流、部署失败、队列积压、定时任务重复执行</x:v>
      </x:c>
      <x:c r="Q152" s="13" t="str">
        <x:v>环境与密钥隔离；最小权限；生产操作留审计；日志脱敏</x:v>
      </x:c>
      <x:c r="R152" s="13" t="str">
        <x:v>部署可回滚；Worker/清理任务可重入；密钥不入库不导出；日志按合规期限保留</x:v>
      </x:c>
    </x:row>
    <x:row r="153" ht="72" customHeight="1">
      <x:c r="A153" s="13" t="str">
        <x:v>第 3 期</x:v>
      </x:c>
      <x:c r="B153" s="13" t="str">
        <x:v>6. 平台、工程与上线</x:v>
      </x:c>
      <x:c r="C153" s="13" t="str">
        <x:v>P3-QA-002</x:v>
      </x:c>
      <x:c r="D153" s="13" t="str">
        <x:v>发布 / 上线验收</x:v>
      </x:c>
      <x:c r="E153" s="13" t="str">
        <x:v>P3-QA-002-04</x:v>
      </x:c>
      <x:c r="F153" s="13" t="str">
        <x:v>前端（共享任务）</x:v>
      </x:c>
      <x:c r="G153" s="13" t="str">
        <x:v>上线验收：性能</x:v>
      </x:c>
      <x:c r="H153" s="13" t="str">
        <x:v>上线验收：性能</x:v>
      </x:c>
      <x:c r="I153" s="13" t="str">
        <x:v>桌面和移动端可操作；正常、空、加载、失败和禁用状态完整；中英文文案可切换。</x:v>
      </x:c>
      <x:c r="J153" s="13" t="str">
        <x:v>P3-QA-002-03</x:v>
      </x:c>
      <x:c r="K153" s="13" t="str">
        <x:v>待完成</x:v>
      </x:c>
      <x:c r="L153" s="13" t="str">
        <x:v>09-26～09-27</x:v>
      </x:c>
      <x:c r="M153" s="13" t="str">
        <x:v>—</x:v>
      </x:c>
      <x:c r="N153" s="13" t="str">
        <x:v>配置版本、Skill版本、模型名、部署版本、provider request ID和环境标识</x:v>
      </x:c>
      <x:c r="O153" s="13" t="str">
        <x:v>部署/服务 health状态；配置启用/停用；队列消息 queued/processing/DLQ</x:v>
      </x:c>
      <x:c r="P153" s="13" t="str">
        <x:v>配置缺失、密钥无效、限流、部署失败、队列积压、定时任务重复执行</x:v>
      </x:c>
      <x:c r="Q153" s="13" t="str">
        <x:v>环境与密钥隔离；最小权限；生产操作留审计；日志脱敏</x:v>
      </x:c>
      <x:c r="R153" s="13" t="str">
        <x:v>部署可回滚；Worker/清理任务可重入；密钥不入库不导出；日志按合规期限保留</x:v>
      </x:c>
    </x:row>
    <x:row r="154" ht="72" customHeight="1">
      <x:c r="A154" s="13" t="str">
        <x:v>第 3 期</x:v>
      </x:c>
      <x:c r="B154" s="13" t="str">
        <x:v>6. 平台、工程与上线</x:v>
      </x:c>
      <x:c r="C154" s="13" t="str">
        <x:v>P3-QA-002</x:v>
      </x:c>
      <x:c r="D154" s="13" t="str">
        <x:v>发布 / 上线验收</x:v>
      </x:c>
      <x:c r="E154" s="13" t="str">
        <x:v>P3-QA-002-05</x:v>
      </x:c>
      <x:c r="F154" s="13" t="str">
        <x:v>前端（共享任务）</x:v>
      </x:c>
      <x:c r="G154" s="13" t="str">
        <x:v>上线验收：错误恢复</x:v>
      </x:c>
      <x:c r="H154" s="13" t="str">
        <x:v>上线验收：错误恢复</x:v>
      </x:c>
      <x:c r="I154" s="13" t="str">
        <x:v>桌面和移动端可操作；正常、空、加载、失败和禁用状态完整；中英文文案可切换。</x:v>
      </x:c>
      <x:c r="J154" s="13" t="str">
        <x:v>P3-QA-002-04</x:v>
      </x:c>
      <x:c r="K154" s="13" t="str">
        <x:v>待完成</x:v>
      </x:c>
      <x:c r="L154" s="13" t="str">
        <x:v>09-26～09-27</x:v>
      </x:c>
      <x:c r="M154" s="13" t="str">
        <x:v>—</x:v>
      </x:c>
      <x:c r="N154" s="13" t="str">
        <x:v>配置版本、Skill版本、模型名、部署版本、provider request ID和环境标识</x:v>
      </x:c>
      <x:c r="O154" s="13" t="str">
        <x:v>部署/服务 health状态；配置启用/停用；队列消息 queued/processing/DLQ</x:v>
      </x:c>
      <x:c r="P154" s="13" t="str">
        <x:v>配置缺失、密钥无效、限流、部署失败、队列积压、定时任务重复执行</x:v>
      </x:c>
      <x:c r="Q154" s="13" t="str">
        <x:v>环境与密钥隔离；最小权限；生产操作留审计；日志脱敏</x:v>
      </x:c>
      <x:c r="R154" s="13" t="str">
        <x:v>部署可回滚；Worker/清理任务可重入；密钥不入库不导出；日志按合规期限保留</x:v>
      </x:c>
    </x:row>
    <x:row r="155" ht="72" customHeight="1">
      <x:c r="A155" s="13" t="str">
        <x:v>第 3 期</x:v>
      </x:c>
      <x:c r="B155" s="13" t="str">
        <x:v>6. 平台、工程与上线</x:v>
      </x:c>
      <x:c r="C155" s="13" t="str">
        <x:v>P3-QA-002</x:v>
      </x:c>
      <x:c r="D155" s="13" t="str">
        <x:v>发布 / 上线验收</x:v>
      </x:c>
      <x:c r="E155" s="13" t="str">
        <x:v>P3-QA-002-06</x:v>
      </x:c>
      <x:c r="F155" s="13" t="str">
        <x:v>前端（共享任务）</x:v>
      </x:c>
      <x:c r="G155" s="13" t="str">
        <x:v>上线验收：监控和回滚</x:v>
      </x:c>
      <x:c r="H155" s="13" t="str">
        <x:v>上线验收：监控和回滚</x:v>
      </x:c>
      <x:c r="I155" s="13" t="str">
        <x:v>重复与并发请求不重复创建、扣点或入账；任一步失败可回滚并可安全重试。</x:v>
      </x:c>
      <x:c r="J155" s="13" t="str">
        <x:v>P3-QA-002-05</x:v>
      </x:c>
      <x:c r="K155" s="13" t="str">
        <x:v>待完成</x:v>
      </x:c>
      <x:c r="L155" s="13" t="str">
        <x:v>09-26～09-27</x:v>
      </x:c>
      <x:c r="M155" s="13" t="str">
        <x:v>—</x:v>
      </x:c>
      <x:c r="N155" s="13" t="str">
        <x:v>配置版本、Skill版本、模型名、部署版本、provider request ID和环境标识</x:v>
      </x:c>
      <x:c r="O155" s="13" t="str">
        <x:v>部署/服务 health状态；配置启用/停用；队列消息 queued/processing/DLQ</x:v>
      </x:c>
      <x:c r="P155" s="13" t="str">
        <x:v>配置缺失、密钥无效、限流、部署失败、队列积压、定时任务重复执行</x:v>
      </x:c>
      <x:c r="Q155" s="13" t="str">
        <x:v>环境与密钥隔离；最小权限；生产操作留审计；日志脱敏</x:v>
      </x:c>
      <x:c r="R155" s="13" t="str">
        <x:v>部署可回滚；Worker/清理任务可重入；密钥不入库不导出；日志按合规期限保留</x:v>
      </x:c>
    </x:row>
  </x:sheetData>
  <x:mergeCells>
    <x:mergeCell ref="A1:R1"/>
    <x:mergeCell ref="A2:R2"/>
  </x:mergeCells>
  <x:conditionalFormatting sqref="K4:K155">
    <x:cfRule type="containsText" dxfId="0" priority="1" operator="containsText" text="已完成"/>
    <x:cfRule type="containsText" dxfId="1" priority="2" operator="containsText" text="待完成"/>
  </x:conditionalFormatting>
  <x:dataValidations count="1">
    <x:dataValidation type="list" sqref="K4:K155">
      <x:formula1>"待完成,已完成"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42b63f7ccf46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16" hidden="0" customWidth="1"/>
    <x:col min="4" max="4" width="29" hidden="0" customWidth="1"/>
    <x:col min="5" max="5" width="19" hidden="0" customWidth="1"/>
    <x:col min="6" max="6" width="18" hidden="0" customWidth="1"/>
    <x:col min="7" max="7" width="42" hidden="0" customWidth="1"/>
    <x:col min="8" max="8" width="42" hidden="0" customWidth="1"/>
    <x:col min="9" max="9" width="54" hidden="0" customWidth="1"/>
    <x:col min="10" max="10" width="22" hidden="0" customWidth="1"/>
    <x:col min="11" max="11" width="12" hidden="0" customWidth="1"/>
    <x:col min="12" max="12" width="20" hidden="0" customWidth="1"/>
    <x:col min="13" max="13" width="16" hidden="0" customWidth="1"/>
    <x:col min="14" max="14" width="48" hidden="0" customWidth="1"/>
    <x:col min="15" max="15" width="42" hidden="0" customWidth="1"/>
    <x:col min="16" max="16" width="48" hidden="0" customWidth="1"/>
    <x:col min="17" max="17" width="44" hidden="0" customWidth="1"/>
    <x:col min="18" max="18" width="54" hidden="0" customWidth="1"/>
  </x:cols>
  <x:sheetData>
    <x:row r="1" ht="34" customHeight="1">
      <x:c r="A1" s="7" t="str">
        <x:v>IconGen 后端详细开发计划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</x:row>
    <x:row r="2">
      <x:c r="A2" t="str">
        <x:v>状态维护规则：代码、测试、接口/页面验收全部完成后才能标记已完成；每条同时检查对象/标识、状态、异常、权限、幂等和生命周期。</x:v>
      </x:c>
    </x:row>
    <x:row r="3" ht="40" customHeight="1">
      <x:c r="A3" s="11" t="str">
        <x:v>阶段</x:v>
      </x:c>
      <x:c r="B3" s="11" t="str">
        <x:v>大需求/业务模块</x:v>
      </x:c>
      <x:c r="C3" s="11" t="str">
        <x:v>父任务ID</x:v>
      </x:c>
      <x:c r="D3" s="11" t="str">
        <x:v>父任务/功能点</x:v>
      </x:c>
      <x:c r="E3" s="11" t="str">
        <x:v>小需求ID</x:v>
      </x:c>
      <x:c r="F3" s="11" t="str">
        <x:v>责任端</x:v>
      </x:c>
      <x:c r="G3" s="11" t="str">
        <x:v>小需求条目</x:v>
      </x:c>
      <x:c r="H3" s="11" t="str">
        <x:v>开发交付物</x:v>
      </x:c>
      <x:c r="I3" s="11" t="str">
        <x:v>验收标准</x:v>
      </x:c>
      <x:c r="J3" s="11" t="str">
        <x:v>前置依赖</x:v>
      </x:c>
      <x:c r="K3" s="11" t="str">
        <x:v>状态</x:v>
      </x:c>
      <x:c r="L3" s="11" t="str">
        <x:v>计划日期</x:v>
      </x:c>
      <x:c r="M3" s="11" t="str">
        <x:v>完成日期</x:v>
      </x:c>
      <x:c r="N3" s="11" t="str">
        <x:v>业务对象与标识</x:v>
      </x:c>
      <x:c r="O3" s="11" t="str">
        <x:v>状态模型</x:v>
      </x:c>
      <x:c r="P3" s="11" t="str">
        <x:v>异常与边界</x:v>
      </x:c>
      <x:c r="Q3" s="11" t="str">
        <x:v>权限与安全</x:v>
      </x:c>
      <x:c r="R3" s="11" t="str">
        <x:v>幂等、并发与生命周期</x:v>
      </x:c>
    </x:row>
    <x:row r="4" ht="72" customHeight="1">
      <x:c r="A4" s="13" t="str">
        <x:v>第 1 期</x:v>
      </x:c>
      <x:c r="B4" s="13" t="str">
        <x:v>6. 平台、工程与上线</x:v>
      </x:c>
      <x:c r="C4" s="13" t="str">
        <x:v>P1-SH-001</x:v>
      </x:c>
      <x:c r="D4" s="13" t="str">
        <x:v>工程 / 建立 Monorepo</x:v>
      </x:c>
      <x:c r="E4" s="13" t="str">
        <x:v>P1-SH-001-01</x:v>
      </x:c>
      <x:c r="F4" s="13" t="str">
        <x:v>后端（共享任务）</x:v>
      </x:c>
      <x:c r="G4" s="13" t="str">
        <x:v>npm Workspaces</x:v>
      </x:c>
      <x:c r="H4" s="13" t="str">
        <x:v>npm Workspaces</x:v>
      </x:c>
      <x:c r="I4" s="13" t="str">
        <x:v>该条目可独立实现和验证；类型检查及对应测试通过；结果满足父任务验收标准。</x:v>
      </x:c>
      <x:c r="J4" s="13" t="str">
        <x:v>—</x:v>
      </x:c>
      <x:c r="K4" s="13" t="str">
        <x:v>已完成</x:v>
      </x:c>
      <x:c r="L4" s="13" t="str">
        <x:v>08-20</x:v>
      </x:c>
      <x:c r="M4" s="13" t="str">
        <x:v>2026-08-20</x:v>
      </x:c>
      <x:c r="N4" s="13" t="str">
        <x:v>配置版本、Skill版本、模型名、部署版本、provider request ID和环境标识</x:v>
      </x:c>
      <x:c r="O4" s="13" t="str">
        <x:v>部署/服务 health状态；配置启用/停用；队列消息 queued/processing/DLQ</x:v>
      </x:c>
      <x:c r="P4" s="13" t="str">
        <x:v>配置缺失、密钥无效、限流、部署失败、队列积压、定时任务重复执行</x:v>
      </x:c>
      <x:c r="Q4" s="13" t="str">
        <x:v>环境与密钥隔离；最小权限；生产操作留审计；日志脱敏</x:v>
      </x:c>
      <x:c r="R4" s="13" t="str">
        <x:v>部署可回滚；Worker/清理任务可重入；密钥不入库不导出；日志按合规期限保留</x:v>
      </x:c>
    </x:row>
    <x:row r="5" ht="72" customHeight="1">
      <x:c r="A5" s="13" t="str">
        <x:v>第 1 期</x:v>
      </x:c>
      <x:c r="B5" s="13" t="str">
        <x:v>6. 平台、工程与上线</x:v>
      </x:c>
      <x:c r="C5" s="13" t="str">
        <x:v>P1-SH-001</x:v>
      </x:c>
      <x:c r="D5" s="13" t="str">
        <x:v>工程 / 建立 Monorepo</x:v>
      </x:c>
      <x:c r="E5" s="13" t="str">
        <x:v>P1-SH-001-02</x:v>
      </x:c>
      <x:c r="F5" s="13" t="str">
        <x:v>后端（共享任务）</x:v>
      </x:c>
      <x:c r="G5" s="13" t="str">
        <x:v>建立 Monorepo：`apps/web`</x:v>
      </x:c>
      <x:c r="H5" s="13" t="str">
        <x:v>建立 Monorepo：`apps/web`</x:v>
      </x:c>
      <x:c r="I5" s="13" t="str">
        <x:v>该条目可独立实现和验证；类型检查及对应测试通过；结果满足父任务验收标准。</x:v>
      </x:c>
      <x:c r="J5" s="13" t="str">
        <x:v>P1-SH-001-01</x:v>
      </x:c>
      <x:c r="K5" s="13" t="str">
        <x:v>已完成</x:v>
      </x:c>
      <x:c r="L5" s="13" t="str">
        <x:v>08-20</x:v>
      </x:c>
      <x:c r="M5" s="13" t="str">
        <x:v>2026-08-20</x:v>
      </x:c>
      <x:c r="N5" s="13" t="str">
        <x:v>配置版本、Skill版本、模型名、部署版本、provider request ID和环境标识</x:v>
      </x:c>
      <x:c r="O5" s="13" t="str">
        <x:v>部署/服务 health状态；配置启用/停用；队列消息 queued/processing/DLQ</x:v>
      </x:c>
      <x:c r="P5" s="13" t="str">
        <x:v>配置缺失、密钥无效、限流、部署失败、队列积压、定时任务重复执行</x:v>
      </x:c>
      <x:c r="Q5" s="13" t="str">
        <x:v>环境与密钥隔离；最小权限；生产操作留审计；日志脱敏</x:v>
      </x:c>
      <x:c r="R5" s="13" t="str">
        <x:v>部署可回滚；Worker/清理任务可重入；密钥不入库不导出；日志按合规期限保留</x:v>
      </x:c>
    </x:row>
    <x:row r="6" ht="72" customHeight="1">
      <x:c r="A6" s="13" t="str">
        <x:v>第 1 期</x:v>
      </x:c>
      <x:c r="B6" s="13" t="str">
        <x:v>6. 平台、工程与上线</x:v>
      </x:c>
      <x:c r="C6" s="13" t="str">
        <x:v>P1-SH-001</x:v>
      </x:c>
      <x:c r="D6" s="13" t="str">
        <x:v>工程 / 建立 Monorepo</x:v>
      </x:c>
      <x:c r="E6" s="13" t="str">
        <x:v>P1-SH-001-03</x:v>
      </x:c>
      <x:c r="F6" s="13" t="str">
        <x:v>后端（共享任务）</x:v>
      </x:c>
      <x:c r="G6" s="13" t="str">
        <x:v>建立 Monorepo：`packages/*`</x:v>
      </x:c>
      <x:c r="H6" s="13" t="str">
        <x:v>建立 Monorepo：`packages/*`</x:v>
      </x:c>
      <x:c r="I6" s="13" t="str">
        <x:v>该条目可独立实现和验证；类型检查及对应测试通过；结果满足父任务验收标准。</x:v>
      </x:c>
      <x:c r="J6" s="13" t="str">
        <x:v>P1-SH-001-02</x:v>
      </x:c>
      <x:c r="K6" s="13" t="str">
        <x:v>已完成</x:v>
      </x:c>
      <x:c r="L6" s="13" t="str">
        <x:v>08-20</x:v>
      </x:c>
      <x:c r="M6" s="13" t="str">
        <x:v>2026-08-20</x:v>
      </x:c>
      <x:c r="N6" s="13" t="str">
        <x:v>配置版本、Skill版本、模型名、部署版本、provider request ID和环境标识</x:v>
      </x:c>
      <x:c r="O6" s="13" t="str">
        <x:v>部署/服务 health状态；配置启用/停用；队列消息 queued/processing/DLQ</x:v>
      </x:c>
      <x:c r="P6" s="13" t="str">
        <x:v>配置缺失、密钥无效、限流、部署失败、队列积压、定时任务重复执行</x:v>
      </x:c>
      <x:c r="Q6" s="13" t="str">
        <x:v>环境与密钥隔离；最小权限；生产操作留审计；日志脱敏</x:v>
      </x:c>
      <x:c r="R6" s="13" t="str">
        <x:v>部署可回滚；Worker/清理任务可重入；密钥不入库不导出；日志按合规期限保留</x:v>
      </x:c>
    </x:row>
    <x:row r="7" ht="72" customHeight="1">
      <x:c r="A7" s="13" t="str">
        <x:v>第 1 期</x:v>
      </x:c>
      <x:c r="B7" s="13" t="str">
        <x:v>6. 平台、工程与上线</x:v>
      </x:c>
      <x:c r="C7" s="13" t="str">
        <x:v>P1-SH-001</x:v>
      </x:c>
      <x:c r="D7" s="13" t="str">
        <x:v>工程 / 建立 Monorepo</x:v>
      </x:c>
      <x:c r="E7" s="13" t="str">
        <x:v>P1-SH-001-04</x:v>
      </x:c>
      <x:c r="F7" s="13" t="str">
        <x:v>后端（共享任务）</x:v>
      </x:c>
      <x:c r="G7" s="13" t="str">
        <x:v>建立 Monorepo：`services/icon-worker` 边界</x:v>
      </x:c>
      <x:c r="H7" s="13" t="str">
        <x:v>建立 Monorepo：`services/icon-worker` 边界</x:v>
      </x:c>
      <x:c r="I7" s="13" t="str">
        <x:v>该条目可独立实现和验证；类型检查及对应测试通过；结果满足父任务验收标准。</x:v>
      </x:c>
      <x:c r="J7" s="13" t="str">
        <x:v>P1-SH-001-03</x:v>
      </x:c>
      <x:c r="K7" s="13" t="str">
        <x:v>已完成</x:v>
      </x:c>
      <x:c r="L7" s="13" t="str">
        <x:v>08-20</x:v>
      </x:c>
      <x:c r="M7" s="13" t="str">
        <x:v>2026-08-20</x:v>
      </x:c>
      <x:c r="N7" s="13" t="str">
        <x:v>配置版本、Skill版本、模型名、部署版本、provider request ID和环境标识</x:v>
      </x:c>
      <x:c r="O7" s="13" t="str">
        <x:v>部署/服务 health状态；配置启用/停用；队列消息 queued/processing/DLQ</x:v>
      </x:c>
      <x:c r="P7" s="13" t="str">
        <x:v>配置缺失、密钥无效、限流、部署失败、队列积压、定时任务重复执行</x:v>
      </x:c>
      <x:c r="Q7" s="13" t="str">
        <x:v>环境与密钥隔离；最小权限；生产操作留审计；日志脱敏</x:v>
      </x:c>
      <x:c r="R7" s="13" t="str">
        <x:v>部署可回滚；Worker/清理任务可重入；密钥不入库不导出；日志按合规期限保留</x:v>
      </x:c>
    </x:row>
    <x:row r="8" ht="72" customHeight="1">
      <x:c r="A8" s="13" t="str">
        <x:v>第 1 期</x:v>
      </x:c>
      <x:c r="B8" s="13" t="str">
        <x:v>6. 平台、工程与上线</x:v>
      </x:c>
      <x:c r="C8" s="13" t="str">
        <x:v>P1-DOC-001</x:v>
      </x:c>
      <x:c r="D8" s="13" t="str">
        <x:v>需求 / 建立知识库与 PRD</x:v>
      </x:c>
      <x:c r="E8" s="13" t="str">
        <x:v>P1-DOC-001-01</x:v>
      </x:c>
      <x:c r="F8" s="13" t="str">
        <x:v>后端（共享任务）</x:v>
      </x:c>
      <x:c r="G8" s="13" t="str">
        <x:v>建立知识库与 PRD：六模块</x:v>
      </x:c>
      <x:c r="H8" s="13" t="str">
        <x:v>建立知识库与 PRD：六模块</x:v>
      </x:c>
      <x:c r="I8" s="13" t="str">
        <x:v>该条目可独立实现和验证；类型检查及对应测试通过；结果满足父任务验收标准。</x:v>
      </x:c>
      <x:c r="J8" s="13" t="str">
        <x:v>—</x:v>
      </x:c>
      <x:c r="K8" s="13" t="str">
        <x:v>已完成</x:v>
      </x:c>
      <x:c r="L8" s="13" t="str">
        <x:v>08-20</x:v>
      </x:c>
      <x:c r="M8" s="13" t="str">
        <x:v>2026-08-20</x:v>
      </x:c>
      <x:c r="N8" s="13" t="str">
        <x:v>配置版本、Skill版本、模型名、部署版本、provider request ID和环境标识</x:v>
      </x:c>
      <x:c r="O8" s="13" t="str">
        <x:v>部署/服务 health状态；配置启用/停用；队列消息 queued/processing/DLQ</x:v>
      </x:c>
      <x:c r="P8" s="13" t="str">
        <x:v>配置缺失、密钥无效、限流、部署失败、队列积压、定时任务重复执行</x:v>
      </x:c>
      <x:c r="Q8" s="13" t="str">
        <x:v>环境与密钥隔离；最小权限；生产操作留审计；日志脱敏</x:v>
      </x:c>
      <x:c r="R8" s="13" t="str">
        <x:v>部署可回滚；Worker/清理任务可重入；密钥不入库不导出；日志按合规期限保留</x:v>
      </x:c>
    </x:row>
    <x:row r="9" ht="72" customHeight="1">
      <x:c r="A9" s="13" t="str">
        <x:v>第 1 期</x:v>
      </x:c>
      <x:c r="B9" s="13" t="str">
        <x:v>6. 平台、工程与上线</x:v>
      </x:c>
      <x:c r="C9" s="13" t="str">
        <x:v>P1-DOC-001</x:v>
      </x:c>
      <x:c r="D9" s="13" t="str">
        <x:v>需求 / 建立知识库与 PRD</x:v>
      </x:c>
      <x:c r="E9" s="13" t="str">
        <x:v>P1-DOC-001-02</x:v>
      </x:c>
      <x:c r="F9" s="13" t="str">
        <x:v>后端（共享任务）</x:v>
      </x:c>
      <x:c r="G9" s="13" t="str">
        <x:v>建立知识库与 PRD：架构</x:v>
      </x:c>
      <x:c r="H9" s="13" t="str">
        <x:v>建立知识库与 PRD：架构</x:v>
      </x:c>
      <x:c r="I9" s="13" t="str">
        <x:v>该条目可独立实现和验证；类型检查及对应测试通过；结果满足父任务验收标准。</x:v>
      </x:c>
      <x:c r="J9" s="13" t="str">
        <x:v>P1-DOC-001-01</x:v>
      </x:c>
      <x:c r="K9" s="13" t="str">
        <x:v>已完成</x:v>
      </x:c>
      <x:c r="L9" s="13" t="str">
        <x:v>08-20</x:v>
      </x:c>
      <x:c r="M9" s="13" t="str">
        <x:v>2026-08-20</x:v>
      </x:c>
      <x:c r="N9" s="13" t="str">
        <x:v>配置版本、Skill版本、模型名、部署版本、provider request ID和环境标识</x:v>
      </x:c>
      <x:c r="O9" s="13" t="str">
        <x:v>部署/服务 health状态；配置启用/停用；队列消息 queued/processing/DLQ</x:v>
      </x:c>
      <x:c r="P9" s="13" t="str">
        <x:v>配置缺失、密钥无效、限流、部署失败、队列积压、定时任务重复执行</x:v>
      </x:c>
      <x:c r="Q9" s="13" t="str">
        <x:v>环境与密钥隔离；最小权限；生产操作留审计；日志脱敏</x:v>
      </x:c>
      <x:c r="R9" s="13" t="str">
        <x:v>部署可回滚；Worker/清理任务可重入；密钥不入库不导出；日志按合规期限保留</x:v>
      </x:c>
    </x:row>
    <x:row r="10" ht="72" customHeight="1">
      <x:c r="A10" s="13" t="str">
        <x:v>第 1 期</x:v>
      </x:c>
      <x:c r="B10" s="13" t="str">
        <x:v>6. 平台、工程与上线</x:v>
      </x:c>
      <x:c r="C10" s="13" t="str">
        <x:v>P1-DOC-001</x:v>
      </x:c>
      <x:c r="D10" s="13" t="str">
        <x:v>需求 / 建立知识库与 PRD</x:v>
      </x:c>
      <x:c r="E10" s="13" t="str">
        <x:v>P1-DOC-001-03</x:v>
      </x:c>
      <x:c r="F10" s="13" t="str">
        <x:v>后端（共享任务）</x:v>
      </x:c>
      <x:c r="G10" s="13" t="str">
        <x:v>建立知识库与 PRD：决策</x:v>
      </x:c>
      <x:c r="H10" s="13" t="str">
        <x:v>建立知识库与 PRD：决策</x:v>
      </x:c>
      <x:c r="I10" s="13" t="str">
        <x:v>该条目可独立实现和验证；类型检查及对应测试通过；结果满足父任务验收标准。</x:v>
      </x:c>
      <x:c r="J10" s="13" t="str">
        <x:v>P1-DOC-001-02</x:v>
      </x:c>
      <x:c r="K10" s="13" t="str">
        <x:v>已完成</x:v>
      </x:c>
      <x:c r="L10" s="13" t="str">
        <x:v>08-20</x:v>
      </x:c>
      <x:c r="M10" s="13" t="str">
        <x:v>2026-08-20</x:v>
      </x:c>
      <x:c r="N10" s="13" t="str">
        <x:v>配置版本、Skill版本、模型名、部署版本、provider request ID和环境标识</x:v>
      </x:c>
      <x:c r="O10" s="13" t="str">
        <x:v>部署/服务 health状态；配置启用/停用；队列消息 queued/processing/DLQ</x:v>
      </x:c>
      <x:c r="P10" s="13" t="str">
        <x:v>配置缺失、密钥无效、限流、部署失败、队列积压、定时任务重复执行</x:v>
      </x:c>
      <x:c r="Q10" s="13" t="str">
        <x:v>环境与密钥隔离；最小权限；生产操作留审计；日志脱敏</x:v>
      </x:c>
      <x:c r="R10" s="13" t="str">
        <x:v>部署可回滚；Worker/清理任务可重入；密钥不入库不导出；日志按合规期限保留</x:v>
      </x:c>
    </x:row>
    <x:row r="11" ht="72" customHeight="1">
      <x:c r="A11" s="13" t="str">
        <x:v>第 1 期</x:v>
      </x:c>
      <x:c r="B11" s="13" t="str">
        <x:v>6. 平台、工程与上线</x:v>
      </x:c>
      <x:c r="C11" s="13" t="str">
        <x:v>P1-DOC-001</x:v>
      </x:c>
      <x:c r="D11" s="13" t="str">
        <x:v>需求 / 建立知识库与 PRD</x:v>
      </x:c>
      <x:c r="E11" s="13" t="str">
        <x:v>P1-DOC-001-04</x:v>
      </x:c>
      <x:c r="F11" s="13" t="str">
        <x:v>后端（共享任务）</x:v>
      </x:c>
      <x:c r="G11" s="13" t="str">
        <x:v>建立知识库与 PRD：接口和待确认事项入口</x:v>
      </x:c>
      <x:c r="H11" s="13" t="str">
        <x:v>建立知识库与 PRD：接口和待确认事项入口</x:v>
      </x:c>
      <x:c r="I11" s="13" t="str">
        <x:v>请求、成功响应和稳定错误码均有测试；鉴权与越权场景通过；接口文档可供联调。</x:v>
      </x:c>
      <x:c r="J11" s="13" t="str">
        <x:v>P1-DOC-001-03</x:v>
      </x:c>
      <x:c r="K11" s="13" t="str">
        <x:v>已完成</x:v>
      </x:c>
      <x:c r="L11" s="13" t="str">
        <x:v>08-20</x:v>
      </x:c>
      <x:c r="M11" s="13" t="str">
        <x:v>2026-08-20</x:v>
      </x:c>
      <x:c r="N11" s="13" t="str">
        <x:v>配置版本、Skill版本、模型名、部署版本、provider request ID和环境标识</x:v>
      </x:c>
      <x:c r="O11" s="13" t="str">
        <x:v>部署/服务 health状态；配置启用/停用；队列消息 queued/processing/DLQ</x:v>
      </x:c>
      <x:c r="P11" s="13" t="str">
        <x:v>配置缺失、密钥无效、限流、部署失败、队列积压、定时任务重复执行</x:v>
      </x:c>
      <x:c r="Q11" s="13" t="str">
        <x:v>环境与密钥隔离；最小权限；生产操作留审计；日志脱敏</x:v>
      </x:c>
      <x:c r="R11" s="13" t="str">
        <x:v>部署可回滚；Worker/清理任务可重入；密钥不入库不导出；日志按合规期限保留</x:v>
      </x:c>
    </x:row>
    <x:row r="12" ht="72" customHeight="1">
      <x:c r="A12" s="13" t="str">
        <x:v>第 1 期</x:v>
      </x:c>
      <x:c r="B12" s="13" t="str">
        <x:v>3. 作品、预览与下载</x:v>
      </x:c>
      <x:c r="C12" s="13" t="str">
        <x:v>P1-DOC-002</x:v>
      </x:c>
      <x:c r="D12" s="13" t="str">
        <x:v>范围 / 冻结 MVP 基线</x:v>
      </x:c>
      <x:c r="E12" s="13" t="str">
        <x:v>P1-DOC-002-01</x:v>
      </x:c>
      <x:c r="F12" s="13" t="str">
        <x:v>后端（共享任务）</x:v>
      </x:c>
      <x:c r="G12" s="13" t="str">
        <x:v>冻结 MVP 基线：UI 图标</x:v>
      </x:c>
      <x:c r="H12" s="13" t="str">
        <x:v>冻结 MVP 基线：UI 图标</x:v>
      </x:c>
      <x:c r="I12" s="13" t="str">
        <x:v>该条目可独立实现和验证；类型检查及对应测试通过；结果满足父任务验收标准。</x:v>
      </x:c>
      <x:c r="J12" s="13" t="str">
        <x:v>—</x:v>
      </x:c>
      <x:c r="K12" s="13" t="str">
        <x:v>已完成</x:v>
      </x:c>
      <x:c r="L12" s="13" t="str">
        <x:v>08-20</x:v>
      </x:c>
      <x:c r="M12" s="13" t="str">
        <x:v>2026-08-20</x:v>
      </x:c>
      <x:c r="N12" s="13" t="str">
        <x:v>job/variant/asset UUID；下载归档 archive_id(UUID)；归档键由用户+选择集+尺寸形成</x:v>
      </x:c>
      <x:c r="O12" s="13" t="str">
        <x:v>asset: available/expired；archive: queued/processing/ready/failed/expired</x:v>
      </x:c>
      <x:c r="P12" s="13" t="str">
        <x:v>未选择、资源未就绪、尺寸不存在、签名URL过期、资产已清理、归档部分失败</x:v>
      </x:c>
      <x:c r="Q12" s="13" t="str">
        <x:v>单图和ZIP均校验本人所有权；私有Bucket；短时签名URL</x:v>
      </x:c>
      <x:c r="R12" s="13" t="str">
        <x:v>相同选择集24小时内复用归档；作品30天、归档24小时；有效PNG进入删除账户导出</x:v>
      </x:c>
    </x:row>
    <x:row r="13" ht="72" customHeight="1">
      <x:c r="A13" s="13" t="str">
        <x:v>第 1 期</x:v>
      </x:c>
      <x:c r="B13" s="13" t="str">
        <x:v>3. 作品、预览与下载</x:v>
      </x:c>
      <x:c r="C13" s="13" t="str">
        <x:v>P1-DOC-002</x:v>
      </x:c>
      <x:c r="D13" s="13" t="str">
        <x:v>范围 / 冻结 MVP 基线</x:v>
      </x:c>
      <x:c r="E13" s="13" t="str">
        <x:v>P1-DOC-002-02</x:v>
      </x:c>
      <x:c r="F13" s="13" t="str">
        <x:v>后端（共享任务）</x:v>
      </x:c>
      <x:c r="G13" s="13" t="str">
        <x:v>冻结 MVP 基线：多主体×3</x:v>
      </x:c>
      <x:c r="H13" s="13" t="str">
        <x:v>冻结 MVP 基线：多主体×3</x:v>
      </x:c>
      <x:c r="I13" s="13" t="str">
        <x:v>该条目可独立实现和验证；类型检查及对应测试通过；结果满足父任务验收标准。</x:v>
      </x:c>
      <x:c r="J13" s="13" t="str">
        <x:v>P1-DOC-002-01</x:v>
      </x:c>
      <x:c r="K13" s="13" t="str">
        <x:v>已完成</x:v>
      </x:c>
      <x:c r="L13" s="13" t="str">
        <x:v>08-20</x:v>
      </x:c>
      <x:c r="M13" s="13" t="str">
        <x:v>2026-08-20</x:v>
      </x:c>
      <x:c r="N13" s="13" t="str">
        <x:v>job/variant/asset UUID；下载归档 archive_id(UUID)；归档键由用户+选择集+尺寸形成</x:v>
      </x:c>
      <x:c r="O13" s="13" t="str">
        <x:v>asset: available/expired；archive: queued/processing/ready/failed/expired</x:v>
      </x:c>
      <x:c r="P13" s="13" t="str">
        <x:v>未选择、资源未就绪、尺寸不存在、签名URL过期、资产已清理、归档部分失败</x:v>
      </x:c>
      <x:c r="Q13" s="13" t="str">
        <x:v>单图和ZIP均校验本人所有权；私有Bucket；短时签名URL</x:v>
      </x:c>
      <x:c r="R13" s="13" t="str">
        <x:v>相同选择集24小时内复用归档；作品30天、归档24小时；有效PNG进入删除账户导出</x:v>
      </x:c>
    </x:row>
    <x:row r="14" ht="72" customHeight="1">
      <x:c r="A14" s="13" t="str">
        <x:v>第 1 期</x:v>
      </x:c>
      <x:c r="B14" s="13" t="str">
        <x:v>3. 作品、预览与下载</x:v>
      </x:c>
      <x:c r="C14" s="13" t="str">
        <x:v>P1-DOC-002</x:v>
      </x:c>
      <x:c r="D14" s="13" t="str">
        <x:v>范围 / 冻结 MVP 基线</x:v>
      </x:c>
      <x:c r="E14" s="13" t="str">
        <x:v>P1-DOC-002-03</x:v>
      </x:c>
      <x:c r="F14" s="13" t="str">
        <x:v>后端（共享任务）</x:v>
      </x:c>
      <x:c r="G14" s="13" t="str">
        <x:v>冻结 MVP 基线：25 项</x:v>
      </x:c>
      <x:c r="H14" s="13" t="str">
        <x:v>冻结 MVP 基线：25 项</x:v>
      </x:c>
      <x:c r="I14" s="13" t="str">
        <x:v>该条目可独立实现和验证；类型检查及对应测试通过；结果满足父任务验收标准。</x:v>
      </x:c>
      <x:c r="J14" s="13" t="str">
        <x:v>P1-DOC-002-02</x:v>
      </x:c>
      <x:c r="K14" s="13" t="str">
        <x:v>已完成</x:v>
      </x:c>
      <x:c r="L14" s="13" t="str">
        <x:v>08-20</x:v>
      </x:c>
      <x:c r="M14" s="13" t="str">
        <x:v>2026-08-20</x:v>
      </x:c>
      <x:c r="N14" s="13" t="str">
        <x:v>job/variant/asset UUID；下载归档 archive_id(UUID)；归档键由用户+选择集+尺寸形成</x:v>
      </x:c>
      <x:c r="O14" s="13" t="str">
        <x:v>asset: available/expired；archive: queued/processing/ready/failed/expired</x:v>
      </x:c>
      <x:c r="P14" s="13" t="str">
        <x:v>未选择、资源未就绪、尺寸不存在、签名URL过期、资产已清理、归档部分失败</x:v>
      </x:c>
      <x:c r="Q14" s="13" t="str">
        <x:v>单图和ZIP均校验本人所有权；私有Bucket；短时签名URL</x:v>
      </x:c>
      <x:c r="R14" s="13" t="str">
        <x:v>相同选择集24小时内复用归档；作品30天、归档24小时；有效PNG进入删除账户导出</x:v>
      </x:c>
    </x:row>
    <x:row r="15" ht="72" customHeight="1">
      <x:c r="A15" s="13" t="str">
        <x:v>第 1 期</x:v>
      </x:c>
      <x:c r="B15" s="13" t="str">
        <x:v>3. 作品、预览与下载</x:v>
      </x:c>
      <x:c r="C15" s="13" t="str">
        <x:v>P1-DOC-002</x:v>
      </x:c>
      <x:c r="D15" s="13" t="str">
        <x:v>范围 / 冻结 MVP 基线</x:v>
      </x:c>
      <x:c r="E15" s="13" t="str">
        <x:v>P1-DOC-002-04</x:v>
      </x:c>
      <x:c r="F15" s="13" t="str">
        <x:v>后端（共享任务）</x:v>
      </x:c>
      <x:c r="G15" s="13" t="str">
        <x:v>冻结 MVP 基线：点数</x:v>
      </x:c>
      <x:c r="H15" s="13" t="str">
        <x:v>冻结 MVP 基线：点数</x:v>
      </x:c>
      <x:c r="I15" s="13" t="str">
        <x:v>该条目可独立实现和验证；类型检查及对应测试通过；结果满足父任务验收标准。</x:v>
      </x:c>
      <x:c r="J15" s="13" t="str">
        <x:v>P1-DOC-002-03</x:v>
      </x:c>
      <x:c r="K15" s="13" t="str">
        <x:v>已完成</x:v>
      </x:c>
      <x:c r="L15" s="13" t="str">
        <x:v>08-20</x:v>
      </x:c>
      <x:c r="M15" s="13" t="str">
        <x:v>2026-08-20</x:v>
      </x:c>
      <x:c r="N15" s="13" t="str">
        <x:v>job/variant/asset UUID；下载归档 archive_id(UUID)；归档键由用户+选择集+尺寸形成</x:v>
      </x:c>
      <x:c r="O15" s="13" t="str">
        <x:v>asset: available/expired；archive: queued/processing/ready/failed/expired</x:v>
      </x:c>
      <x:c r="P15" s="13" t="str">
        <x:v>未选择、资源未就绪、尺寸不存在、签名URL过期、资产已清理、归档部分失败</x:v>
      </x:c>
      <x:c r="Q15" s="13" t="str">
        <x:v>单图和ZIP均校验本人所有权；私有Bucket；短时签名URL</x:v>
      </x:c>
      <x:c r="R15" s="13" t="str">
        <x:v>相同选择集24小时内复用归档；作品30天、归档24小时；有效PNG进入删除账户导出</x:v>
      </x:c>
    </x:row>
    <x:row r="16" ht="72" customHeight="1">
      <x:c r="A16" s="13" t="str">
        <x:v>第 1 期</x:v>
      </x:c>
      <x:c r="B16" s="13" t="str">
        <x:v>3. 作品、预览与下载</x:v>
      </x:c>
      <x:c r="C16" s="13" t="str">
        <x:v>P1-DOC-002</x:v>
      </x:c>
      <x:c r="D16" s="13" t="str">
        <x:v>范围 / 冻结 MVP 基线</x:v>
      </x:c>
      <x:c r="E16" s="13" t="str">
        <x:v>P1-DOC-002-05</x:v>
      </x:c>
      <x:c r="F16" s="13" t="str">
        <x:v>后端（共享任务）</x:v>
      </x:c>
      <x:c r="G16" s="13" t="str">
        <x:v>冻结 MVP 基线：下载</x:v>
      </x:c>
      <x:c r="H16" s="13" t="str">
        <x:v>冻结 MVP 基线：下载</x:v>
      </x:c>
      <x:c r="I16" s="13" t="str">
        <x:v>该条目可独立实现和验证；类型检查及对应测试通过；结果满足父任务验收标准。</x:v>
      </x:c>
      <x:c r="J16" s="13" t="str">
        <x:v>P1-DOC-002-04</x:v>
      </x:c>
      <x:c r="K16" s="13" t="str">
        <x:v>已完成</x:v>
      </x:c>
      <x:c r="L16" s="13" t="str">
        <x:v>08-20</x:v>
      </x:c>
      <x:c r="M16" s="13" t="str">
        <x:v>2026-08-20</x:v>
      </x:c>
      <x:c r="N16" s="13" t="str">
        <x:v>job/variant/asset UUID；下载归档 archive_id(UUID)；归档键由用户+选择集+尺寸形成</x:v>
      </x:c>
      <x:c r="O16" s="13" t="str">
        <x:v>asset: available/expired；archive: queued/processing/ready/failed/expired</x:v>
      </x:c>
      <x:c r="P16" s="13" t="str">
        <x:v>未选择、资源未就绪、尺寸不存在、签名URL过期、资产已清理、归档部分失败</x:v>
      </x:c>
      <x:c r="Q16" s="13" t="str">
        <x:v>单图和ZIP均校验本人所有权；私有Bucket；短时签名URL</x:v>
      </x:c>
      <x:c r="R16" s="13" t="str">
        <x:v>相同选择集24小时内复用归档；作品30天、归档24小时；有效PNG进入删除账户导出</x:v>
      </x:c>
    </x:row>
    <x:row r="17" ht="72" customHeight="1">
      <x:c r="A17" s="13" t="str">
        <x:v>第 1 期</x:v>
      </x:c>
      <x:c r="B17" s="13" t="str">
        <x:v>3. 作品、预览与下载</x:v>
      </x:c>
      <x:c r="C17" s="13" t="str">
        <x:v>P1-DOC-002</x:v>
      </x:c>
      <x:c r="D17" s="13" t="str">
        <x:v>范围 / 冻结 MVP 基线</x:v>
      </x:c>
      <x:c r="E17" s="13" t="str">
        <x:v>P1-DOC-002-06</x:v>
      </x:c>
      <x:c r="F17" s="13" t="str">
        <x:v>后端（共享任务）</x:v>
      </x:c>
      <x:c r="G17" s="13" t="str">
        <x:v>冻结 MVP 基线：保留与最小运营范围</x:v>
      </x:c>
      <x:c r="H17" s="13" t="str">
        <x:v>冻结 MVP 基线：保留与最小运营范围</x:v>
      </x:c>
      <x:c r="I17" s="13" t="str">
        <x:v>该条目可独立实现和验证；类型检查及对应测试通过；结果满足父任务验收标准。</x:v>
      </x:c>
      <x:c r="J17" s="13" t="str">
        <x:v>P1-DOC-002-05</x:v>
      </x:c>
      <x:c r="K17" s="13" t="str">
        <x:v>已完成</x:v>
      </x:c>
      <x:c r="L17" s="13" t="str">
        <x:v>08-20</x:v>
      </x:c>
      <x:c r="M17" s="13" t="str">
        <x:v>2026-08-20</x:v>
      </x:c>
      <x:c r="N17" s="13" t="str">
        <x:v>job/variant/asset UUID；下载归档 archive_id(UUID)；归档键由用户+选择集+尺寸形成</x:v>
      </x:c>
      <x:c r="O17" s="13" t="str">
        <x:v>asset: available/expired；archive: queued/processing/ready/failed/expired</x:v>
      </x:c>
      <x:c r="P17" s="13" t="str">
        <x:v>未选择、资源未就绪、尺寸不存在、签名URL过期、资产已清理、归档部分失败</x:v>
      </x:c>
      <x:c r="Q17" s="13" t="str">
        <x:v>单图和ZIP均校验本人所有权；私有Bucket；短时签名URL</x:v>
      </x:c>
      <x:c r="R17" s="13" t="str">
        <x:v>相同选择集24小时内复用归档；作品30天、归档24小时；有效PNG进入删除账户导出</x:v>
      </x:c>
    </x:row>
    <x:row r="18" ht="72" customHeight="1">
      <x:c r="A18" s="13" t="str">
        <x:v>第 1 期</x:v>
      </x:c>
      <x:c r="B18" s="13" t="str">
        <x:v>2. 图标设计与生成</x:v>
      </x:c>
      <x:c r="C18" s="13" t="str">
        <x:v>P1-SH-002</x:v>
      </x:c>
      <x:c r="D18" s="13" t="str">
        <x:v>生成契约 / 建立 v2 Schema</x:v>
      </x:c>
      <x:c r="E18" s="13" t="str">
        <x:v>P1-SH-002-01</x:v>
      </x:c>
      <x:c r="F18" s="13" t="str">
        <x:v>后端（共享任务）</x:v>
      </x:c>
      <x:c r="G18" s="13" t="str">
        <x:v>建立 v2 Schema：subjects</x:v>
      </x:c>
      <x:c r="H18" s="13" t="str">
        <x:v>建立 v2 Schema：subjects</x:v>
      </x:c>
      <x:c r="I18" s="13" t="str">
        <x:v>该条目可独立实现和验证；类型检查及对应测试通过；结果满足父任务验收标准。</x:v>
      </x:c>
      <x:c r="J18" s="13" t="str">
        <x:v>—</x:v>
      </x:c>
      <x:c r="K18" s="13" t="str">
        <x:v>已完成</x:v>
      </x:c>
      <x:c r="L18" s="13" t="str">
        <x:v>08-20</x:v>
      </x:c>
      <x:c r="M18" s="13" t="str">
        <x:v>2026-08-20</x:v>
      </x:c>
      <x:c r="N18" s="13" t="str">
        <x:v>job_id、subject_id、variant_id、asset_id 均为UUID；创建请求另带 idempotency_key；记录 settings/skill/model 版本</x:v>
      </x:c>
      <x:c r="O18" s="13" t="str">
        <x:v>job: queued/processing/completed/partial/failed；variant: queued/processing/completed/failed</x:v>
      </x:c>
      <x:c r="P18" s="13" t="str">
        <x:v>1–20主体、每主体3方案、余额不足、内容拦截、模型超时、部分成功、刷新恢复</x:v>
      </x:c>
      <x:c r="Q18" s="13" t="str">
        <x:v>仅本人查看任务与结果；Worker 使用服务端权限；平台API Key不下发前端</x:v>
      </x:c>
      <x:c r="R18" s="13" t="str">
        <x:v>创建+扣点同事务；每用户1个活动任务；队列重投跳过已完成variant；图片保留30天</x:v>
      </x:c>
    </x:row>
    <x:row r="19" ht="72" customHeight="1">
      <x:c r="A19" s="13" t="str">
        <x:v>第 1 期</x:v>
      </x:c>
      <x:c r="B19" s="13" t="str">
        <x:v>2. 图标设计与生成</x:v>
      </x:c>
      <x:c r="C19" s="13" t="str">
        <x:v>P1-SH-002</x:v>
      </x:c>
      <x:c r="D19" s="13" t="str">
        <x:v>生成契约 / 建立 v2 Schema</x:v>
      </x:c>
      <x:c r="E19" s="13" t="str">
        <x:v>P1-SH-002-02</x:v>
      </x:c>
      <x:c r="F19" s="13" t="str">
        <x:v>后端（共享任务）</x:v>
      </x:c>
      <x:c r="G19" s="13" t="str">
        <x:v>建立 v2 Schema：颜色/背景</x:v>
      </x:c>
      <x:c r="H19" s="13" t="str">
        <x:v>建立 v2 Schema：颜色/背景</x:v>
      </x:c>
      <x:c r="I19" s="13" t="str">
        <x:v>该条目可独立实现和验证；类型检查及对应测试通过；结果满足父任务验收标准。</x:v>
      </x:c>
      <x:c r="J19" s="13" t="str">
        <x:v>P1-SH-002-01</x:v>
      </x:c>
      <x:c r="K19" s="13" t="str">
        <x:v>已完成</x:v>
      </x:c>
      <x:c r="L19" s="13" t="str">
        <x:v>08-20</x:v>
      </x:c>
      <x:c r="M19" s="13" t="str">
        <x:v>2026-08-20</x:v>
      </x:c>
      <x:c r="N19" s="13" t="str">
        <x:v>job_id、subject_id、variant_id、asset_id 均为UUID；创建请求另带 idempotency_key；记录 settings/skill/model 版本</x:v>
      </x:c>
      <x:c r="O19" s="13" t="str">
        <x:v>job: queued/processing/completed/partial/failed；variant: queued/processing/completed/failed</x:v>
      </x:c>
      <x:c r="P19" s="13" t="str">
        <x:v>1–20主体、每主体3方案、余额不足、内容拦截、模型超时、部分成功、刷新恢复</x:v>
      </x:c>
      <x:c r="Q19" s="13" t="str">
        <x:v>仅本人查看任务与结果；Worker 使用服务端权限；平台API Key不下发前端</x:v>
      </x:c>
      <x:c r="R19" s="13" t="str">
        <x:v>创建+扣点同事务；每用户1个活动任务；队列重投跳过已完成variant；图片保留30天</x:v>
      </x:c>
    </x:row>
    <x:row r="20" ht="72" customHeight="1">
      <x:c r="A20" s="13" t="str">
        <x:v>第 1 期</x:v>
      </x:c>
      <x:c r="B20" s="13" t="str">
        <x:v>2. 图标设计与生成</x:v>
      </x:c>
      <x:c r="C20" s="13" t="str">
        <x:v>P1-SH-002</x:v>
      </x:c>
      <x:c r="D20" s="13" t="str">
        <x:v>生成契约 / 建立 v2 Schema</x:v>
      </x:c>
      <x:c r="E20" s="13" t="str">
        <x:v>P1-SH-002-03</x:v>
      </x:c>
      <x:c r="F20" s="13" t="str">
        <x:v>后端（共享任务）</x:v>
      </x:c>
      <x:c r="G20" s="13" t="str">
        <x:v>建立 v2 Schema：coreSettings</x:v>
      </x:c>
      <x:c r="H20" s="13" t="str">
        <x:v>建立 v2 Schema：coreSettings</x:v>
      </x:c>
      <x:c r="I20" s="13" t="str">
        <x:v>该条目可独立实现和验证；类型检查及对应测试通过；结果满足父任务验收标准。</x:v>
      </x:c>
      <x:c r="J20" s="13" t="str">
        <x:v>P1-SH-002-02</x:v>
      </x:c>
      <x:c r="K20" s="13" t="str">
        <x:v>已完成</x:v>
      </x:c>
      <x:c r="L20" s="13" t="str">
        <x:v>08-20</x:v>
      </x:c>
      <x:c r="M20" s="13" t="str">
        <x:v>2026-08-20</x:v>
      </x:c>
      <x:c r="N20" s="13" t="str">
        <x:v>job_id、subject_id、variant_id、asset_id 均为UUID；创建请求另带 idempotency_key；记录 settings/skill/model 版本</x:v>
      </x:c>
      <x:c r="O20" s="13" t="str">
        <x:v>job: queued/processing/completed/partial/failed；variant: queued/processing/completed/failed</x:v>
      </x:c>
      <x:c r="P20" s="13" t="str">
        <x:v>1–20主体、每主体3方案、余额不足、内容拦截、模型超时、部分成功、刷新恢复</x:v>
      </x:c>
      <x:c r="Q20" s="13" t="str">
        <x:v>仅本人查看任务与结果；Worker 使用服务端权限；平台API Key不下发前端</x:v>
      </x:c>
      <x:c r="R20" s="13" t="str">
        <x:v>创建+扣点同事务；每用户1个活动任务；队列重投跳过已完成variant；图片保留30天</x:v>
      </x:c>
    </x:row>
    <x:row r="21" ht="72" customHeight="1">
      <x:c r="A21" s="13" t="str">
        <x:v>第 1 期</x:v>
      </x:c>
      <x:c r="B21" s="13" t="str">
        <x:v>2. 图标设计与生成</x:v>
      </x:c>
      <x:c r="C21" s="13" t="str">
        <x:v>P1-SH-002</x:v>
      </x:c>
      <x:c r="D21" s="13" t="str">
        <x:v>生成契约 / 建立 v2 Schema</x:v>
      </x:c>
      <x:c r="E21" s="13" t="str">
        <x:v>P1-SH-002-04</x:v>
      </x:c>
      <x:c r="F21" s="13" t="str">
        <x:v>后端（共享任务）</x:v>
      </x:c>
      <x:c r="G21" s="13" t="str">
        <x:v>建立 v2 Schema：尺寸</x:v>
      </x:c>
      <x:c r="H21" s="13" t="str">
        <x:v>建立 v2 Schema：尺寸</x:v>
      </x:c>
      <x:c r="I21" s="13" t="str">
        <x:v>输出文件格式、数量、尺寸、透明/背景规则和所有权校验符合 PRD；失败可追踪。</x:v>
      </x:c>
      <x:c r="J21" s="13" t="str">
        <x:v>P1-SH-002-03</x:v>
      </x:c>
      <x:c r="K21" s="13" t="str">
        <x:v>已完成</x:v>
      </x:c>
      <x:c r="L21" s="13" t="str">
        <x:v>08-20</x:v>
      </x:c>
      <x:c r="M21" s="13" t="str">
        <x:v>2026-08-20</x:v>
      </x:c>
      <x:c r="N21" s="13" t="str">
        <x:v>job_id、subject_id、variant_id、asset_id 均为UUID；创建请求另带 idempotency_key；记录 settings/skill/model 版本</x:v>
      </x:c>
      <x:c r="O21" s="13" t="str">
        <x:v>job: queued/processing/completed/partial/failed；variant: queued/processing/completed/failed</x:v>
      </x:c>
      <x:c r="P21" s="13" t="str">
        <x:v>1–20主体、每主体3方案、余额不足、内容拦截、模型超时、部分成功、刷新恢复</x:v>
      </x:c>
      <x:c r="Q21" s="13" t="str">
        <x:v>仅本人查看任务与结果；Worker 使用服务端权限；平台API Key不下发前端</x:v>
      </x:c>
      <x:c r="R21" s="13" t="str">
        <x:v>创建+扣点同事务；每用户1个活动任务；队列重投跳过已完成variant；图片保留30天</x:v>
      </x:c>
    </x:row>
    <x:row r="22" ht="72" customHeight="1">
      <x:c r="A22" s="13" t="str">
        <x:v>第 1 期</x:v>
      </x:c>
      <x:c r="B22" s="13" t="str">
        <x:v>2. 图标设计与生成</x:v>
      </x:c>
      <x:c r="C22" s="13" t="str">
        <x:v>P1-SH-002</x:v>
      </x:c>
      <x:c r="D22" s="13" t="str">
        <x:v>生成契约 / 建立 v2 Schema</x:v>
      </x:c>
      <x:c r="E22" s="13" t="str">
        <x:v>P1-SH-002-05</x:v>
      </x:c>
      <x:c r="F22" s="13" t="str">
        <x:v>后端（共享任务）</x:v>
      </x:c>
      <x:c r="G22" s="13" t="str">
        <x:v>建立 v2 Schema：任务/进度/variant/asset 响应</x:v>
      </x:c>
      <x:c r="H22" s="13" t="str">
        <x:v>建立 v2 Schema：任务/进度/variant/asset 响应</x:v>
      </x:c>
      <x:c r="I22" s="13" t="str">
        <x:v>该条目可独立实现和验证；类型检查及对应测试通过；结果满足父任务验收标准。</x:v>
      </x:c>
      <x:c r="J22" s="13" t="str">
        <x:v>P1-SH-002-04</x:v>
      </x:c>
      <x:c r="K22" s="13" t="str">
        <x:v>已完成</x:v>
      </x:c>
      <x:c r="L22" s="13" t="str">
        <x:v>08-20</x:v>
      </x:c>
      <x:c r="M22" s="13" t="str">
        <x:v>2026-08-20</x:v>
      </x:c>
      <x:c r="N22" s="13" t="str">
        <x:v>job_id、subject_id、variant_id、asset_id 均为UUID；创建请求另带 idempotency_key；记录 settings/skill/model 版本</x:v>
      </x:c>
      <x:c r="O22" s="13" t="str">
        <x:v>job: queued/processing/completed/partial/failed；variant: queued/processing/completed/failed</x:v>
      </x:c>
      <x:c r="P22" s="13" t="str">
        <x:v>1–20主体、每主体3方案、余额不足、内容拦截、模型超时、部分成功、刷新恢复</x:v>
      </x:c>
      <x:c r="Q22" s="13" t="str">
        <x:v>仅本人查看任务与结果；Worker 使用服务端权限；平台API Key不下发前端</x:v>
      </x:c>
      <x:c r="R22" s="13" t="str">
        <x:v>创建+扣点同事务；每用户1个活动任务；队列重投跳过已完成variant；图片保留30天</x:v>
      </x:c>
    </x:row>
    <x:row r="23" ht="72" customHeight="1">
      <x:c r="A23" s="13" t="str">
        <x:v>第 1 期</x:v>
      </x:c>
      <x:c r="B23" s="13" t="str">
        <x:v>6. 平台、工程与上线</x:v>
      </x:c>
      <x:c r="C23" s="13" t="str">
        <x:v>P1-SH-003</x:v>
      </x:c>
      <x:c r="D23" s="13" t="str">
        <x:v>核心设置 / 建立 6 组 25 项共享配置</x:v>
      </x:c>
      <x:c r="E23" s="13" t="str">
        <x:v>P1-SH-003-01</x:v>
      </x:c>
      <x:c r="F23" s="13" t="str">
        <x:v>后端（共享任务）</x:v>
      </x:c>
      <x:c r="G23" s="13" t="str">
        <x:v>建立 6 组 25 项共享配置：中英文标签</x:v>
      </x:c>
      <x:c r="H23" s="13" t="str">
        <x:v>建立 6 组 25 项共享配置：中英文标签</x:v>
      </x:c>
      <x:c r="I23" s="13" t="str">
        <x:v>桌面和移动端可操作；正常、空、加载、失败和禁用状态完整；中英文文案可切换。</x:v>
      </x:c>
      <x:c r="J23" s="13" t="str">
        <x:v>—</x:v>
      </x:c>
      <x:c r="K23" s="13" t="str">
        <x:v>已完成</x:v>
      </x:c>
      <x:c r="L23" s="13" t="str">
        <x:v>08-20</x:v>
      </x:c>
      <x:c r="M23" s="13" t="str">
        <x:v>2026-08-20</x:v>
      </x:c>
      <x:c r="N23" s="13" t="str">
        <x:v>配置版本、Skill版本、模型名、部署版本、provider request ID和环境标识</x:v>
      </x:c>
      <x:c r="O23" s="13" t="str">
        <x:v>部署/服务 health状态；配置启用/停用；队列消息 queued/processing/DLQ</x:v>
      </x:c>
      <x:c r="P23" s="13" t="str">
        <x:v>配置缺失、密钥无效、限流、部署失败、队列积压、定时任务重复执行</x:v>
      </x:c>
      <x:c r="Q23" s="13" t="str">
        <x:v>环境与密钥隔离；最小权限；生产操作留审计；日志脱敏</x:v>
      </x:c>
      <x:c r="R23" s="13" t="str">
        <x:v>部署可回滚；Worker/清理任务可重入；密钥不入库不导出；日志按合规期限保留</x:v>
      </x:c>
    </x:row>
    <x:row r="24" ht="72" customHeight="1">
      <x:c r="A24" s="13" t="str">
        <x:v>第 1 期</x:v>
      </x:c>
      <x:c r="B24" s="13" t="str">
        <x:v>6. 平台、工程与上线</x:v>
      </x:c>
      <x:c r="C24" s="13" t="str">
        <x:v>P1-SH-003</x:v>
      </x:c>
      <x:c r="D24" s="13" t="str">
        <x:v>核心设置 / 建立 6 组 25 项共享配置</x:v>
      </x:c>
      <x:c r="E24" s="13" t="str">
        <x:v>P1-SH-003-02</x:v>
      </x:c>
      <x:c r="F24" s="13" t="str">
        <x:v>后端（共享任务）</x:v>
      </x:c>
      <x:c r="G24" s="13" t="str">
        <x:v>建立 6 组 25 项共享配置：稳定 ID</x:v>
      </x:c>
      <x:c r="H24" s="13" t="str">
        <x:v>建立 6 组 25 项共享配置：稳定 ID</x:v>
      </x:c>
      <x:c r="I24" s="13" t="str">
        <x:v>该条目可独立实现和验证；类型检查及对应测试通过；结果满足父任务验收标准。</x:v>
      </x:c>
      <x:c r="J24" s="13" t="str">
        <x:v>P1-SH-003-01</x:v>
      </x:c>
      <x:c r="K24" s="13" t="str">
        <x:v>已完成</x:v>
      </x:c>
      <x:c r="L24" s="13" t="str">
        <x:v>08-20</x:v>
      </x:c>
      <x:c r="M24" s="13" t="str">
        <x:v>2026-08-20</x:v>
      </x:c>
      <x:c r="N24" s="13" t="str">
        <x:v>配置版本、Skill版本、模型名、部署版本、provider request ID和环境标识</x:v>
      </x:c>
      <x:c r="O24" s="13" t="str">
        <x:v>部署/服务 health状态；配置启用/停用；队列消息 queued/processing/DLQ</x:v>
      </x:c>
      <x:c r="P24" s="13" t="str">
        <x:v>配置缺失、密钥无效、限流、部署失败、队列积压、定时任务重复执行</x:v>
      </x:c>
      <x:c r="Q24" s="13" t="str">
        <x:v>环境与密钥隔离；最小权限；生产操作留审计；日志脱敏</x:v>
      </x:c>
      <x:c r="R24" s="13" t="str">
        <x:v>部署可回滚；Worker/清理任务可重入；密钥不入库不导出；日志按合规期限保留</x:v>
      </x:c>
    </x:row>
    <x:row r="25" ht="72" customHeight="1">
      <x:c r="A25" s="13" t="str">
        <x:v>第 1 期</x:v>
      </x:c>
      <x:c r="B25" s="13" t="str">
        <x:v>6. 平台、工程与上线</x:v>
      </x:c>
      <x:c r="C25" s="13" t="str">
        <x:v>P1-SH-003</x:v>
      </x:c>
      <x:c r="D25" s="13" t="str">
        <x:v>核心设置 / 建立 6 组 25 项共享配置</x:v>
      </x:c>
      <x:c r="E25" s="13" t="str">
        <x:v>P1-SH-003-03</x:v>
      </x:c>
      <x:c r="F25" s="13" t="str">
        <x:v>后端（共享任务）</x:v>
      </x:c>
      <x:c r="G25" s="13" t="str">
        <x:v>建立 6 组 25 项共享配置：prompt token</x:v>
      </x:c>
      <x:c r="H25" s="13" t="str">
        <x:v>建立 6 组 25 项共享配置：prompt token</x:v>
      </x:c>
      <x:c r="I25" s="13" t="str">
        <x:v>该条目可独立实现和验证；类型检查及对应测试通过；结果满足父任务验收标准。</x:v>
      </x:c>
      <x:c r="J25" s="13" t="str">
        <x:v>P1-SH-003-02</x:v>
      </x:c>
      <x:c r="K25" s="13" t="str">
        <x:v>已完成</x:v>
      </x:c>
      <x:c r="L25" s="13" t="str">
        <x:v>08-20</x:v>
      </x:c>
      <x:c r="M25" s="13" t="str">
        <x:v>2026-08-20</x:v>
      </x:c>
      <x:c r="N25" s="13" t="str">
        <x:v>配置版本、Skill版本、模型名、部署版本、provider request ID和环境标识</x:v>
      </x:c>
      <x:c r="O25" s="13" t="str">
        <x:v>部署/服务 health状态；配置启用/停用；队列消息 queued/processing/DLQ</x:v>
      </x:c>
      <x:c r="P25" s="13" t="str">
        <x:v>配置缺失、密钥无效、限流、部署失败、队列积压、定时任务重复执行</x:v>
      </x:c>
      <x:c r="Q25" s="13" t="str">
        <x:v>环境与密钥隔离；最小权限；生产操作留审计；日志脱敏</x:v>
      </x:c>
      <x:c r="R25" s="13" t="str">
        <x:v>部署可回滚；Worker/清理任务可重入；密钥不入库不导出；日志按合规期限保留</x:v>
      </x:c>
    </x:row>
    <x:row r="26" ht="72" customHeight="1">
      <x:c r="A26" s="13" t="str">
        <x:v>第 1 期</x:v>
      </x:c>
      <x:c r="B26" s="13" t="str">
        <x:v>6. 平台、工程与上线</x:v>
      </x:c>
      <x:c r="C26" s="13" t="str">
        <x:v>P1-SH-003</x:v>
      </x:c>
      <x:c r="D26" s="13" t="str">
        <x:v>核心设置 / 建立 6 组 25 项共享配置</x:v>
      </x:c>
      <x:c r="E26" s="13" t="str">
        <x:v>P1-SH-003-04</x:v>
      </x:c>
      <x:c r="F26" s="13" t="str">
        <x:v>后端（共享任务）</x:v>
      </x:c>
      <x:c r="G26" s="13" t="str">
        <x:v>建立 6 组 25 项共享配置：版本和自动数量校验</x:v>
      </x:c>
      <x:c r="H26" s="13" t="str">
        <x:v>建立 6 组 25 项共享配置：版本和自动数量校验</x:v>
      </x:c>
      <x:c r="I26" s="13" t="str">
        <x:v>该条目可独立实现和验证；类型检查及对应测试通过；结果满足父任务验收标准。</x:v>
      </x:c>
      <x:c r="J26" s="13" t="str">
        <x:v>P1-SH-003-03</x:v>
      </x:c>
      <x:c r="K26" s="13" t="str">
        <x:v>已完成</x:v>
      </x:c>
      <x:c r="L26" s="13" t="str">
        <x:v>08-20</x:v>
      </x:c>
      <x:c r="M26" s="13" t="str">
        <x:v>2026-08-20</x:v>
      </x:c>
      <x:c r="N26" s="13" t="str">
        <x:v>配置版本、Skill版本、模型名、部署版本、provider request ID和环境标识</x:v>
      </x:c>
      <x:c r="O26" s="13" t="str">
        <x:v>部署/服务 health状态；配置启用/停用；队列消息 queued/processing/DLQ</x:v>
      </x:c>
      <x:c r="P26" s="13" t="str">
        <x:v>配置缺失、密钥无效、限流、部署失败、队列积压、定时任务重复执行</x:v>
      </x:c>
      <x:c r="Q26" s="13" t="str">
        <x:v>环境与密钥隔离；最小权限；生产操作留审计；日志脱敏</x:v>
      </x:c>
      <x:c r="R26" s="13" t="str">
        <x:v>部署可回滚；Worker/清理任务可重入；密钥不入库不导出；日志按合规期限保留</x:v>
      </x:c>
    </x:row>
    <x:row r="27" ht="72" customHeight="1">
      <x:c r="A27" s="13" t="str">
        <x:v>第 1 期</x:v>
      </x:c>
      <x:c r="B27" s="13" t="str">
        <x:v>6. 平台、工程与上线</x:v>
      </x:c>
      <x:c r="C27" s="13" t="str">
        <x:v>P1-SH-004</x:v>
      </x:c>
      <x:c r="D27" s="13" t="str">
        <x:v>测试 / 共享契约测试</x:v>
      </x:c>
      <x:c r="E27" s="13" t="str">
        <x:v>P1-SH-004-01</x:v>
      </x:c>
      <x:c r="F27" s="13" t="str">
        <x:v>后端（共享任务）</x:v>
      </x:c>
      <x:c r="G27" s="13" t="str">
        <x:v>共享契约测试：合法多主体</x:v>
      </x:c>
      <x:c r="H27" s="13" t="str">
        <x:v>共享契约测试：合法多主体</x:v>
      </x:c>
      <x:c r="I27" s="13" t="str">
        <x:v>自动化用例通过并保存验收结果；覆盖主流程、异常、刷新恢复和重复操作。</x:v>
      </x:c>
      <x:c r="J27" s="13" t="str">
        <x:v>—</x:v>
      </x:c>
      <x:c r="K27" s="13" t="str">
        <x:v>已完成</x:v>
      </x:c>
      <x:c r="L27" s="13" t="str">
        <x:v>08-20</x:v>
      </x:c>
      <x:c r="M27" s="13" t="str">
        <x:v>2026-08-20</x:v>
      </x:c>
      <x:c r="N27" s="13" t="str">
        <x:v>配置版本、Skill版本、模型名、部署版本、provider request ID和环境标识</x:v>
      </x:c>
      <x:c r="O27" s="13" t="str">
        <x:v>部署/服务 health状态；配置启用/停用；队列消息 queued/processing/DLQ</x:v>
      </x:c>
      <x:c r="P27" s="13" t="str">
        <x:v>配置缺失、密钥无效、限流、部署失败、队列积压、定时任务重复执行</x:v>
      </x:c>
      <x:c r="Q27" s="13" t="str">
        <x:v>环境与密钥隔离；最小权限；生产操作留审计；日志脱敏</x:v>
      </x:c>
      <x:c r="R27" s="13" t="str">
        <x:v>部署可回滚；Worker/清理任务可重入；密钥不入库不导出；日志按合规期限保留</x:v>
      </x:c>
    </x:row>
    <x:row r="28" ht="72" customHeight="1">
      <x:c r="A28" s="13" t="str">
        <x:v>第 1 期</x:v>
      </x:c>
      <x:c r="B28" s="13" t="str">
        <x:v>6. 平台、工程与上线</x:v>
      </x:c>
      <x:c r="C28" s="13" t="str">
        <x:v>P1-SH-004</x:v>
      </x:c>
      <x:c r="D28" s="13" t="str">
        <x:v>测试 / 共享契约测试</x:v>
      </x:c>
      <x:c r="E28" s="13" t="str">
        <x:v>P1-SH-004-02</x:v>
      </x:c>
      <x:c r="F28" s="13" t="str">
        <x:v>后端（共享任务）</x:v>
      </x:c>
      <x:c r="G28" s="13" t="str">
        <x:v>共享契约测试：重复主体</x:v>
      </x:c>
      <x:c r="H28" s="13" t="str">
        <x:v>共享契约测试：重复主体</x:v>
      </x:c>
      <x:c r="I28" s="13" t="str">
        <x:v>重复与并发请求不重复创建、扣点或入账；任一步失败可回滚并可安全重试。</x:v>
      </x:c>
      <x:c r="J28" s="13" t="str">
        <x:v>P1-SH-004-01</x:v>
      </x:c>
      <x:c r="K28" s="13" t="str">
        <x:v>已完成</x:v>
      </x:c>
      <x:c r="L28" s="13" t="str">
        <x:v>08-20</x:v>
      </x:c>
      <x:c r="M28" s="13" t="str">
        <x:v>2026-08-20</x:v>
      </x:c>
      <x:c r="N28" s="13" t="str">
        <x:v>配置版本、Skill版本、模型名、部署版本、provider request ID和环境标识</x:v>
      </x:c>
      <x:c r="O28" s="13" t="str">
        <x:v>部署/服务 health状态；配置启用/停用；队列消息 queued/processing/DLQ</x:v>
      </x:c>
      <x:c r="P28" s="13" t="str">
        <x:v>配置缺失、密钥无效、限流、部署失败、队列积压、定时任务重复执行</x:v>
      </x:c>
      <x:c r="Q28" s="13" t="str">
        <x:v>环境与密钥隔离；最小权限；生产操作留审计；日志脱敏</x:v>
      </x:c>
      <x:c r="R28" s="13" t="str">
        <x:v>部署可回滚；Worker/清理任务可重入；密钥不入库不导出；日志按合规期限保留</x:v>
      </x:c>
    </x:row>
    <x:row r="29" ht="72" customHeight="1">
      <x:c r="A29" s="13" t="str">
        <x:v>第 1 期</x:v>
      </x:c>
      <x:c r="B29" s="13" t="str">
        <x:v>6. 平台、工程与上线</x:v>
      </x:c>
      <x:c r="C29" s="13" t="str">
        <x:v>P1-SH-004</x:v>
      </x:c>
      <x:c r="D29" s="13" t="str">
        <x:v>测试 / 共享契约测试</x:v>
      </x:c>
      <x:c r="E29" s="13" t="str">
        <x:v>P1-SH-004-03</x:v>
      </x:c>
      <x:c r="F29" s="13" t="str">
        <x:v>后端（共享任务）</x:v>
      </x:c>
      <x:c r="G29" s="13" t="str">
        <x:v>共享契约测试：背景冲突</x:v>
      </x:c>
      <x:c r="H29" s="13" t="str">
        <x:v>共享契约测试：背景冲突</x:v>
      </x:c>
      <x:c r="I29" s="13" t="str">
        <x:v>自动化用例通过并保存验收结果；覆盖主流程、异常、刷新恢复和重复操作。</x:v>
      </x:c>
      <x:c r="J29" s="13" t="str">
        <x:v>P1-SH-004-02</x:v>
      </x:c>
      <x:c r="K29" s="13" t="str">
        <x:v>已完成</x:v>
      </x:c>
      <x:c r="L29" s="13" t="str">
        <x:v>08-20</x:v>
      </x:c>
      <x:c r="M29" s="13" t="str">
        <x:v>2026-08-20</x:v>
      </x:c>
      <x:c r="N29" s="13" t="str">
        <x:v>配置版本、Skill版本、模型名、部署版本、provider request ID和环境标识</x:v>
      </x:c>
      <x:c r="O29" s="13" t="str">
        <x:v>部署/服务 health状态；配置启用/停用；队列消息 queued/processing/DLQ</x:v>
      </x:c>
      <x:c r="P29" s="13" t="str">
        <x:v>配置缺失、密钥无效、限流、部署失败、队列积压、定时任务重复执行</x:v>
      </x:c>
      <x:c r="Q29" s="13" t="str">
        <x:v>环境与密钥隔离；最小权限；生产操作留审计；日志脱敏</x:v>
      </x:c>
      <x:c r="R29" s="13" t="str">
        <x:v>部署可回滚；Worker/清理任务可重入；密钥不入库不导出；日志按合规期限保留</x:v>
      </x:c>
    </x:row>
    <x:row r="30" ht="72" customHeight="1">
      <x:c r="A30" s="13" t="str">
        <x:v>第 1 期</x:v>
      </x:c>
      <x:c r="B30" s="13" t="str">
        <x:v>6. 平台、工程与上线</x:v>
      </x:c>
      <x:c r="C30" s="13" t="str">
        <x:v>P1-SH-004</x:v>
      </x:c>
      <x:c r="D30" s="13" t="str">
        <x:v>测试 / 共享契约测试</x:v>
      </x:c>
      <x:c r="E30" s="13" t="str">
        <x:v>P1-SH-004-04</x:v>
      </x:c>
      <x:c r="F30" s="13" t="str">
        <x:v>后端（共享任务）</x:v>
      </x:c>
      <x:c r="G30" s="13" t="str">
        <x:v>共享契约测试：尺寸和 6/25 数量测试</x:v>
      </x:c>
      <x:c r="H30" s="13" t="str">
        <x:v>共享契约测试：尺寸和 6/25 数量测试</x:v>
      </x:c>
      <x:c r="I30" s="13" t="str">
        <x:v>自动化用例通过并保存验收结果；覆盖主流程、异常、刷新恢复和重复操作。</x:v>
      </x:c>
      <x:c r="J30" s="13" t="str">
        <x:v>P1-SH-004-03</x:v>
      </x:c>
      <x:c r="K30" s="13" t="str">
        <x:v>已完成</x:v>
      </x:c>
      <x:c r="L30" s="13" t="str">
        <x:v>08-20</x:v>
      </x:c>
      <x:c r="M30" s="13" t="str">
        <x:v>2026-08-20</x:v>
      </x:c>
      <x:c r="N30" s="13" t="str">
        <x:v>配置版本、Skill版本、模型名、部署版本、provider request ID和环境标识</x:v>
      </x:c>
      <x:c r="O30" s="13" t="str">
        <x:v>部署/服务 health状态；配置启用/停用；队列消息 queued/processing/DLQ</x:v>
      </x:c>
      <x:c r="P30" s="13" t="str">
        <x:v>配置缺失、密钥无效、限流、部署失败、队列积压、定时任务重复执行</x:v>
      </x:c>
      <x:c r="Q30" s="13" t="str">
        <x:v>环境与密钥隔离；最小权限；生产操作留审计；日志脱敏</x:v>
      </x:c>
      <x:c r="R30" s="13" t="str">
        <x:v>部署可回滚；Worker/清理任务可重入；密钥不入库不导出；日志按合规期限保留</x:v>
      </x:c>
    </x:row>
    <x:row r="31" ht="72" customHeight="1">
      <x:c r="A31" s="13" t="str">
        <x:v>第 1 期</x:v>
      </x:c>
      <x:c r="B31" s="13" t="str">
        <x:v>1. 用户、登录与账户</x:v>
      </x:c>
      <x:c r="C31" s="13" t="str">
        <x:v>P1-BE-001</x:v>
      </x:c>
      <x:c r="D31" s="13" t="str">
        <x:v>认证 / 邮箱密码认证 API</x:v>
      </x:c>
      <x:c r="E31" s="13" t="str">
        <x:v>P1-BE-001-01</x:v>
      </x:c>
      <x:c r="F31" s="13" t="str">
        <x:v>后端</x:v>
      </x:c>
      <x:c r="G31" s="13" t="str">
        <x:v>邮箱密码认证 API：注册</x:v>
      </x:c>
      <x:c r="H31" s="13" t="str">
        <x:v>邮箱密码认证 API：注册</x:v>
      </x:c>
      <x:c r="I31" s="13" t="str">
        <x:v>请求、成功响应和稳定错误码均有测试；鉴权与越权场景通过；接口文档可供联调。</x:v>
      </x:c>
      <x:c r="J31" s="13" t="str">
        <x:v>—</x:v>
      </x:c>
      <x:c r="K31" s="13" t="str">
        <x:v>已完成</x:v>
      </x:c>
      <x:c r="L31" s="13" t="str">
        <x:v>08-20</x:v>
      </x:c>
      <x:c r="M31" s="13" t="str">
        <x:v>2026-08-20</x:v>
      </x:c>
      <x:c r="N31" s="13" t="str">
        <x:v>用户 user_id(UUID)；删除申请 deletion_request_id(UUID)；数据导出 export_id(UUID)；邮箱仅作登录标识</x:v>
      </x:c>
      <x:c r="O31" s="13" t="str">
        <x:v>unverified → active → deletion_pending → deleted；导出 queued/processing/ready/failed/expired</x:v>
      </x:c>
      <x:c r="P31" s="13" t="str">
        <x:v>重复注册、未验证、会话过期、活动生成任务阻止删除、导出过期或失败可重试</x:v>
      </x:c>
      <x:c r="Q31" s="13" t="str">
        <x:v>仅本人读写账户；高风险操作重新认证；Service Role 仅后端持有</x:v>
      </x:c>
      <x:c r="R31" s="13" t="str">
        <x:v>账户初始化/6点赠送/删除申请/导出创建均有稳定幂等键；删除宽限30天，导出ZIP 24小时</x:v>
      </x:c>
    </x:row>
    <x:row r="32" ht="72" customHeight="1">
      <x:c r="A32" s="13" t="str">
        <x:v>第 1 期</x:v>
      </x:c>
      <x:c r="B32" s="13" t="str">
        <x:v>1. 用户、登录与账户</x:v>
      </x:c>
      <x:c r="C32" s="13" t="str">
        <x:v>P1-BE-001</x:v>
      </x:c>
      <x:c r="D32" s="13" t="str">
        <x:v>认证 / 邮箱密码认证 API</x:v>
      </x:c>
      <x:c r="E32" s="13" t="str">
        <x:v>P1-BE-001-02</x:v>
      </x:c>
      <x:c r="F32" s="13" t="str">
        <x:v>后端</x:v>
      </x:c>
      <x:c r="G32" s="13" t="str">
        <x:v>邮箱密码认证 API：登录</x:v>
      </x:c>
      <x:c r="H32" s="13" t="str">
        <x:v>邮箱密码认证 API：登录</x:v>
      </x:c>
      <x:c r="I32" s="13" t="str">
        <x:v>请求、成功响应和稳定错误码均有测试；鉴权与越权场景通过；接口文档可供联调。</x:v>
      </x:c>
      <x:c r="J32" s="13" t="str">
        <x:v>P1-BE-001-01</x:v>
      </x:c>
      <x:c r="K32" s="13" t="str">
        <x:v>已完成</x:v>
      </x:c>
      <x:c r="L32" s="13" t="str">
        <x:v>08-20</x:v>
      </x:c>
      <x:c r="M32" s="13" t="str">
        <x:v>2026-08-20</x:v>
      </x:c>
      <x:c r="N32" s="13" t="str">
        <x:v>用户 user_id(UUID)；删除申请 deletion_request_id(UUID)；数据导出 export_id(UUID)；邮箱仅作登录标识</x:v>
      </x:c>
      <x:c r="O32" s="13" t="str">
        <x:v>unverified → active → deletion_pending → deleted；导出 queued/processing/ready/failed/expired</x:v>
      </x:c>
      <x:c r="P32" s="13" t="str">
        <x:v>重复注册、未验证、会话过期、活动生成任务阻止删除、导出过期或失败可重试</x:v>
      </x:c>
      <x:c r="Q32" s="13" t="str">
        <x:v>仅本人读写账户；高风险操作重新认证；Service Role 仅后端持有</x:v>
      </x:c>
      <x:c r="R32" s="13" t="str">
        <x:v>账户初始化/6点赠送/删除申请/导出创建均有稳定幂等键；删除宽限30天，导出ZIP 24小时</x:v>
      </x:c>
    </x:row>
    <x:row r="33" ht="72" customHeight="1">
      <x:c r="A33" s="13" t="str">
        <x:v>第 1 期</x:v>
      </x:c>
      <x:c r="B33" s="13" t="str">
        <x:v>1. 用户、登录与账户</x:v>
      </x:c>
      <x:c r="C33" s="13" t="str">
        <x:v>P1-BE-001</x:v>
      </x:c>
      <x:c r="D33" s="13" t="str">
        <x:v>认证 / 邮箱密码认证 API</x:v>
      </x:c>
      <x:c r="E33" s="13" t="str">
        <x:v>P1-BE-001-03</x:v>
      </x:c>
      <x:c r="F33" s="13" t="str">
        <x:v>后端</x:v>
      </x:c>
      <x:c r="G33" s="13" t="str">
        <x:v>邮箱密码认证 API：退出</x:v>
      </x:c>
      <x:c r="H33" s="13" t="str">
        <x:v>邮箱密码认证 API：退出</x:v>
      </x:c>
      <x:c r="I33" s="13" t="str">
        <x:v>请求、成功响应和稳定错误码均有测试；鉴权与越权场景通过；接口文档可供联调。</x:v>
      </x:c>
      <x:c r="J33" s="13" t="str">
        <x:v>P1-BE-001-02</x:v>
      </x:c>
      <x:c r="K33" s="13" t="str">
        <x:v>已完成</x:v>
      </x:c>
      <x:c r="L33" s="13" t="str">
        <x:v>08-20</x:v>
      </x:c>
      <x:c r="M33" s="13" t="str">
        <x:v>2026-08-20</x:v>
      </x:c>
      <x:c r="N33" s="13" t="str">
        <x:v>用户 user_id(UUID)；删除申请 deletion_request_id(UUID)；数据导出 export_id(UUID)；邮箱仅作登录标识</x:v>
      </x:c>
      <x:c r="O33" s="13" t="str">
        <x:v>unverified → active → deletion_pending → deleted；导出 queued/processing/ready/failed/expired</x:v>
      </x:c>
      <x:c r="P33" s="13" t="str">
        <x:v>重复注册、未验证、会话过期、活动生成任务阻止删除、导出过期或失败可重试</x:v>
      </x:c>
      <x:c r="Q33" s="13" t="str">
        <x:v>仅本人读写账户；高风险操作重新认证；Service Role 仅后端持有</x:v>
      </x:c>
      <x:c r="R33" s="13" t="str">
        <x:v>账户初始化/6点赠送/删除申请/导出创建均有稳定幂等键；删除宽限30天，导出ZIP 24小时</x:v>
      </x:c>
    </x:row>
    <x:row r="34" ht="72" customHeight="1">
      <x:c r="A34" s="13" t="str">
        <x:v>第 1 期</x:v>
      </x:c>
      <x:c r="B34" s="13" t="str">
        <x:v>1. 用户、登录与账户</x:v>
      </x:c>
      <x:c r="C34" s="13" t="str">
        <x:v>P1-BE-001</x:v>
      </x:c>
      <x:c r="D34" s="13" t="str">
        <x:v>认证 / 邮箱密码认证 API</x:v>
      </x:c>
      <x:c r="E34" s="13" t="str">
        <x:v>P1-BE-001-04</x:v>
      </x:c>
      <x:c r="F34" s="13" t="str">
        <x:v>后端</x:v>
      </x:c>
      <x:c r="G34" s="13" t="str">
        <x:v>邮箱密码认证 API：验证重发</x:v>
      </x:c>
      <x:c r="H34" s="13" t="str">
        <x:v>邮箱密码认证 API：验证重发</x:v>
      </x:c>
      <x:c r="I34" s="13" t="str">
        <x:v>请求、成功响应和稳定错误码均有测试；鉴权与越权场景通过；接口文档可供联调。</x:v>
      </x:c>
      <x:c r="J34" s="13" t="str">
        <x:v>P1-BE-001-03</x:v>
      </x:c>
      <x:c r="K34" s="13" t="str">
        <x:v>已完成</x:v>
      </x:c>
      <x:c r="L34" s="13" t="str">
        <x:v>08-20</x:v>
      </x:c>
      <x:c r="M34" s="13" t="str">
        <x:v>2026-08-20</x:v>
      </x:c>
      <x:c r="N34" s="13" t="str">
        <x:v>用户 user_id(UUID)；删除申请 deletion_request_id(UUID)；数据导出 export_id(UUID)；邮箱仅作登录标识</x:v>
      </x:c>
      <x:c r="O34" s="13" t="str">
        <x:v>unverified → active → deletion_pending → deleted；导出 queued/processing/ready/failed/expired</x:v>
      </x:c>
      <x:c r="P34" s="13" t="str">
        <x:v>重复注册、未验证、会话过期、活动生成任务阻止删除、导出过期或失败可重试</x:v>
      </x:c>
      <x:c r="Q34" s="13" t="str">
        <x:v>仅本人读写账户；高风险操作重新认证；Service Role 仅后端持有</x:v>
      </x:c>
      <x:c r="R34" s="13" t="str">
        <x:v>账户初始化/6点赠送/删除申请/导出创建均有稳定幂等键；删除宽限30天，导出ZIP 24小时</x:v>
      </x:c>
    </x:row>
    <x:row r="35" ht="72" customHeight="1">
      <x:c r="A35" s="13" t="str">
        <x:v>第 1 期</x:v>
      </x:c>
      <x:c r="B35" s="13" t="str">
        <x:v>1. 用户、登录与账户</x:v>
      </x:c>
      <x:c r="C35" s="13" t="str">
        <x:v>P1-BE-001</x:v>
      </x:c>
      <x:c r="D35" s="13" t="str">
        <x:v>认证 / 邮箱密码认证 API</x:v>
      </x:c>
      <x:c r="E35" s="13" t="str">
        <x:v>P1-BE-001-05</x:v>
      </x:c>
      <x:c r="F35" s="13" t="str">
        <x:v>后端</x:v>
      </x:c>
      <x:c r="G35" s="13" t="str">
        <x:v>邮箱密码认证 API：忘记和重置密码接口</x:v>
      </x:c>
      <x:c r="H35" s="13" t="str">
        <x:v>邮箱密码认证 API：忘记和重置密码接口</x:v>
      </x:c>
      <x:c r="I35" s="13" t="str">
        <x:v>请求、成功响应和稳定错误码均有测试；鉴权与越权场景通过；接口文档可供联调。</x:v>
      </x:c>
      <x:c r="J35" s="13" t="str">
        <x:v>P1-BE-001-04</x:v>
      </x:c>
      <x:c r="K35" s="13" t="str">
        <x:v>已完成</x:v>
      </x:c>
      <x:c r="L35" s="13" t="str">
        <x:v>08-20</x:v>
      </x:c>
      <x:c r="M35" s="13" t="str">
        <x:v>2026-08-20</x:v>
      </x:c>
      <x:c r="N35" s="13" t="str">
        <x:v>用户 user_id(UUID)；删除申请 deletion_request_id(UUID)；数据导出 export_id(UUID)；邮箱仅作登录标识</x:v>
      </x:c>
      <x:c r="O35" s="13" t="str">
        <x:v>unverified → active → deletion_pending → deleted；导出 queued/processing/ready/failed/expired</x:v>
      </x:c>
      <x:c r="P35" s="13" t="str">
        <x:v>重复注册、未验证、会话过期、活动生成任务阻止删除、导出过期或失败可重试</x:v>
      </x:c>
      <x:c r="Q35" s="13" t="str">
        <x:v>仅本人读写账户；高风险操作重新认证；Service Role 仅后端持有</x:v>
      </x:c>
      <x:c r="R35" s="13" t="str">
        <x:v>账户初始化/6点赠送/删除申请/导出创建均有稳定幂等键；删除宽限30天，导出ZIP 24小时</x:v>
      </x:c>
    </x:row>
    <x:row r="36" ht="72" customHeight="1">
      <x:c r="A36" s="13" t="str">
        <x:v>第 1 期</x:v>
      </x:c>
      <x:c r="B36" s="13" t="str">
        <x:v>1. 用户、登录与账户</x:v>
      </x:c>
      <x:c r="C36" s="13" t="str">
        <x:v>P1-BE-002</x:v>
      </x:c>
      <x:c r="D36" s="13" t="str">
        <x:v>账户 / 账户资料 API</x:v>
      </x:c>
      <x:c r="E36" s="13" t="str">
        <x:v>P1-BE-002-01</x:v>
      </x:c>
      <x:c r="F36" s="13" t="str">
        <x:v>后端</x:v>
      </x:c>
      <x:c r="G36" s="13" t="str">
        <x:v>账户资料 API：当前账户</x:v>
      </x:c>
      <x:c r="H36" s="13" t="str">
        <x:v>账户资料 API：当前账户</x:v>
      </x:c>
      <x:c r="I36" s="13" t="str">
        <x:v>请求、成功响应和稳定错误码均有测试；鉴权与越权场景通过；接口文档可供联调。</x:v>
      </x:c>
      <x:c r="J36" s="13" t="str">
        <x:v>—</x:v>
      </x:c>
      <x:c r="K36" s="13" t="str">
        <x:v>已完成</x:v>
      </x:c>
      <x:c r="L36" s="13" t="str">
        <x:v>08-20</x:v>
      </x:c>
      <x:c r="M36" s="13" t="str">
        <x:v>2026-08-20</x:v>
      </x:c>
      <x:c r="N36" s="13" t="str">
        <x:v>用户 user_id(UUID)；删除申请 deletion_request_id(UUID)；数据导出 export_id(UUID)；邮箱仅作登录标识</x:v>
      </x:c>
      <x:c r="O36" s="13" t="str">
        <x:v>unverified → active → deletion_pending → deleted；导出 queued/processing/ready/failed/expired</x:v>
      </x:c>
      <x:c r="P36" s="13" t="str">
        <x:v>重复注册、未验证、会话过期、活动生成任务阻止删除、导出过期或失败可重试</x:v>
      </x:c>
      <x:c r="Q36" s="13" t="str">
        <x:v>仅本人读写账户；高风险操作重新认证；Service Role 仅后端持有</x:v>
      </x:c>
      <x:c r="R36" s="13" t="str">
        <x:v>账户初始化/6点赠送/删除申请/导出创建均有稳定幂等键；删除宽限30天，导出ZIP 24小时</x:v>
      </x:c>
    </x:row>
    <x:row r="37" ht="72" customHeight="1">
      <x:c r="A37" s="13" t="str">
        <x:v>第 1 期</x:v>
      </x:c>
      <x:c r="B37" s="13" t="str">
        <x:v>1. 用户、登录与账户</x:v>
      </x:c>
      <x:c r="C37" s="13" t="str">
        <x:v>P1-BE-002</x:v>
      </x:c>
      <x:c r="D37" s="13" t="str">
        <x:v>账户 / 账户资料 API</x:v>
      </x:c>
      <x:c r="E37" s="13" t="str">
        <x:v>P1-BE-002-02</x:v>
      </x:c>
      <x:c r="F37" s="13" t="str">
        <x:v>后端</x:v>
      </x:c>
      <x:c r="G37" s="13" t="str">
        <x:v>账户资料 API：资料更新和删除申请接口</x:v>
      </x:c>
      <x:c r="H37" s="13" t="str">
        <x:v>账户资料 API：资料更新和删除申请接口</x:v>
      </x:c>
      <x:c r="I37" s="13" t="str">
        <x:v>请求、成功响应和稳定错误码均有测试；鉴权与越权场景通过；接口文档可供联调。</x:v>
      </x:c>
      <x:c r="J37" s="13" t="str">
        <x:v>P1-BE-002-01</x:v>
      </x:c>
      <x:c r="K37" s="13" t="str">
        <x:v>已完成</x:v>
      </x:c>
      <x:c r="L37" s="13" t="str">
        <x:v>08-20</x:v>
      </x:c>
      <x:c r="M37" s="13" t="str">
        <x:v>2026-08-20</x:v>
      </x:c>
      <x:c r="N37" s="13" t="str">
        <x:v>用户 user_id(UUID)；删除申请 deletion_request_id(UUID)；数据导出 export_id(UUID)；邮箱仅作登录标识</x:v>
      </x:c>
      <x:c r="O37" s="13" t="str">
        <x:v>unverified → active → deletion_pending → deleted；导出 queued/processing/ready/failed/expired</x:v>
      </x:c>
      <x:c r="P37" s="13" t="str">
        <x:v>重复注册、未验证、会话过期、活动生成任务阻止删除、导出过期或失败可重试</x:v>
      </x:c>
      <x:c r="Q37" s="13" t="str">
        <x:v>仅本人读写账户；高风险操作重新认证；Service Role 仅后端持有</x:v>
      </x:c>
      <x:c r="R37" s="13" t="str">
        <x:v>账户初始化/6点赠送/删除申请/导出创建均有稳定幂等键；删除宽限30天，导出ZIP 24小时</x:v>
      </x:c>
    </x:row>
    <x:row r="38" ht="72" customHeight="1">
      <x:c r="A38" s="13" t="str">
        <x:v>第 1 期</x:v>
      </x:c>
      <x:c r="B38" s="13" t="str">
        <x:v>2. 图标设计与生成</x:v>
      </x:c>
      <x:c r="C38" s="13" t="str">
        <x:v>P1-BE-003</x:v>
      </x:c>
      <x:c r="D38" s="13" t="str">
        <x:v>数据库 / 编写 v2 生成迁移</x:v>
      </x:c>
      <x:c r="E38" s="13" t="str">
        <x:v>P1-BE-003-01</x:v>
      </x:c>
      <x:c r="F38" s="13" t="str">
        <x:v>后端</x:v>
      </x:c>
      <x:c r="G38" s="13" t="str">
        <x:v>编写 v2 生成迁移：jobs</x:v>
      </x:c>
      <x:c r="H38" s="13" t="str">
        <x:v>编写 v2 生成迁移：jobs</x:v>
      </x:c>
      <x:c r="I38" s="13" t="str">
        <x:v>该条目可独立实现和验证；类型检查及对应测试通过；结果满足父任务验收标准。</x:v>
      </x:c>
      <x:c r="J38" s="13" t="str">
        <x:v>—</x:v>
      </x:c>
      <x:c r="K38" s="13" t="str">
        <x:v>已完成</x:v>
      </x:c>
      <x:c r="L38" s="13" t="str">
        <x:v>08-20</x:v>
      </x:c>
      <x:c r="M38" s="13" t="str">
        <x:v>2026-08-20</x:v>
      </x:c>
      <x:c r="N38" s="13" t="str">
        <x:v>job_id、subject_id、variant_id、asset_id 均为UUID；创建请求另带 idempotency_key；记录 settings/skill/model 版本</x:v>
      </x:c>
      <x:c r="O38" s="13" t="str">
        <x:v>job: queued/processing/completed/partial/failed；variant: queued/processing/completed/failed</x:v>
      </x:c>
      <x:c r="P38" s="13" t="str">
        <x:v>1–20主体、每主体3方案、余额不足、内容拦截、模型超时、部分成功、刷新恢复</x:v>
      </x:c>
      <x:c r="Q38" s="13" t="str">
        <x:v>仅本人查看任务与结果；Worker 使用服务端权限；平台API Key不下发前端</x:v>
      </x:c>
      <x:c r="R38" s="13" t="str">
        <x:v>创建+扣点同事务；每用户1个活动任务；队列重投跳过已完成variant；图片保留30天</x:v>
      </x:c>
    </x:row>
    <x:row r="39" ht="72" customHeight="1">
      <x:c r="A39" s="13" t="str">
        <x:v>第 1 期</x:v>
      </x:c>
      <x:c r="B39" s="13" t="str">
        <x:v>2. 图标设计与生成</x:v>
      </x:c>
      <x:c r="C39" s="13" t="str">
        <x:v>P1-BE-003</x:v>
      </x:c>
      <x:c r="D39" s="13" t="str">
        <x:v>数据库 / 编写 v2 生成迁移</x:v>
      </x:c>
      <x:c r="E39" s="13" t="str">
        <x:v>P1-BE-003-02</x:v>
      </x:c>
      <x:c r="F39" s="13" t="str">
        <x:v>后端</x:v>
      </x:c>
      <x:c r="G39" s="13" t="str">
        <x:v>编写 v2 生成迁移：subjects</x:v>
      </x:c>
      <x:c r="H39" s="13" t="str">
        <x:v>编写 v2 生成迁移：subjects</x:v>
      </x:c>
      <x:c r="I39" s="13" t="str">
        <x:v>该条目可独立实现和验证；类型检查及对应测试通过；结果满足父任务验收标准。</x:v>
      </x:c>
      <x:c r="J39" s="13" t="str">
        <x:v>P1-BE-003-01</x:v>
      </x:c>
      <x:c r="K39" s="13" t="str">
        <x:v>已完成</x:v>
      </x:c>
      <x:c r="L39" s="13" t="str">
        <x:v>08-20</x:v>
      </x:c>
      <x:c r="M39" s="13" t="str">
        <x:v>2026-08-20</x:v>
      </x:c>
      <x:c r="N39" s="13" t="str">
        <x:v>job_id、subject_id、variant_id、asset_id 均为UUID；创建请求另带 idempotency_key；记录 settings/skill/model 版本</x:v>
      </x:c>
      <x:c r="O39" s="13" t="str">
        <x:v>job: queued/processing/completed/partial/failed；variant: queued/processing/completed/failed</x:v>
      </x:c>
      <x:c r="P39" s="13" t="str">
        <x:v>1–20主体、每主体3方案、余额不足、内容拦截、模型超时、部分成功、刷新恢复</x:v>
      </x:c>
      <x:c r="Q39" s="13" t="str">
        <x:v>仅本人查看任务与结果；Worker 使用服务端权限；平台API Key不下发前端</x:v>
      </x:c>
      <x:c r="R39" s="13" t="str">
        <x:v>创建+扣点同事务；每用户1个活动任务；队列重投跳过已完成variant；图片保留30天</x:v>
      </x:c>
    </x:row>
    <x:row r="40" ht="72" customHeight="1">
      <x:c r="A40" s="13" t="str">
        <x:v>第 1 期</x:v>
      </x:c>
      <x:c r="B40" s="13" t="str">
        <x:v>2. 图标设计与生成</x:v>
      </x:c>
      <x:c r="C40" s="13" t="str">
        <x:v>P1-BE-003</x:v>
      </x:c>
      <x:c r="D40" s="13" t="str">
        <x:v>数据库 / 编写 v2 生成迁移</x:v>
      </x:c>
      <x:c r="E40" s="13" t="str">
        <x:v>P1-BE-003-03</x:v>
      </x:c>
      <x:c r="F40" s="13" t="str">
        <x:v>后端</x:v>
      </x:c>
      <x:c r="G40" s="13" t="str">
        <x:v>编写 v2 生成迁移：variants</x:v>
      </x:c>
      <x:c r="H40" s="13" t="str">
        <x:v>编写 v2 生成迁移：variants</x:v>
      </x:c>
      <x:c r="I40" s="13" t="str">
        <x:v>该条目可独立实现和验证；类型检查及对应测试通过；结果满足父任务验收标准。</x:v>
      </x:c>
      <x:c r="J40" s="13" t="str">
        <x:v>P1-BE-003-02</x:v>
      </x:c>
      <x:c r="K40" s="13" t="str">
        <x:v>已完成</x:v>
      </x:c>
      <x:c r="L40" s="13" t="str">
        <x:v>08-20</x:v>
      </x:c>
      <x:c r="M40" s="13" t="str">
        <x:v>2026-08-20</x:v>
      </x:c>
      <x:c r="N40" s="13" t="str">
        <x:v>job_id、subject_id、variant_id、asset_id 均为UUID；创建请求另带 idempotency_key；记录 settings/skill/model 版本</x:v>
      </x:c>
      <x:c r="O40" s="13" t="str">
        <x:v>job: queued/processing/completed/partial/failed；variant: queued/processing/completed/failed</x:v>
      </x:c>
      <x:c r="P40" s="13" t="str">
        <x:v>1–20主体、每主体3方案、余额不足、内容拦截、模型超时、部分成功、刷新恢复</x:v>
      </x:c>
      <x:c r="Q40" s="13" t="str">
        <x:v>仅本人查看任务与结果；Worker 使用服务端权限；平台API Key不下发前端</x:v>
      </x:c>
      <x:c r="R40" s="13" t="str">
        <x:v>创建+扣点同事务；每用户1个活动任务；队列重投跳过已完成variant；图片保留30天</x:v>
      </x:c>
    </x:row>
    <x:row r="41" ht="72" customHeight="1">
      <x:c r="A41" s="13" t="str">
        <x:v>第 1 期</x:v>
      </x:c>
      <x:c r="B41" s="13" t="str">
        <x:v>2. 图标设计与生成</x:v>
      </x:c>
      <x:c r="C41" s="13" t="str">
        <x:v>P1-BE-003</x:v>
      </x:c>
      <x:c r="D41" s="13" t="str">
        <x:v>数据库 / 编写 v2 生成迁移</x:v>
      </x:c>
      <x:c r="E41" s="13" t="str">
        <x:v>P1-BE-003-04</x:v>
      </x:c>
      <x:c r="F41" s="13" t="str">
        <x:v>后端</x:v>
      </x:c>
      <x:c r="G41" s="13" t="str">
        <x:v>编写 v2 生成迁移：assets</x:v>
      </x:c>
      <x:c r="H41" s="13" t="str">
        <x:v>编写 v2 生成迁移：assets</x:v>
      </x:c>
      <x:c r="I41" s="13" t="str">
        <x:v>该条目可独立实现和验证；类型检查及对应测试通过；结果满足父任务验收标准。</x:v>
      </x:c>
      <x:c r="J41" s="13" t="str">
        <x:v>P1-BE-003-03</x:v>
      </x:c>
      <x:c r="K41" s="13" t="str">
        <x:v>已完成</x:v>
      </x:c>
      <x:c r="L41" s="13" t="str">
        <x:v>08-20</x:v>
      </x:c>
      <x:c r="M41" s="13" t="str">
        <x:v>2026-08-20</x:v>
      </x:c>
      <x:c r="N41" s="13" t="str">
        <x:v>job_id、subject_id、variant_id、asset_id 均为UUID；创建请求另带 idempotency_key；记录 settings/skill/model 版本</x:v>
      </x:c>
      <x:c r="O41" s="13" t="str">
        <x:v>job: queued/processing/completed/partial/failed；variant: queued/processing/completed/failed</x:v>
      </x:c>
      <x:c r="P41" s="13" t="str">
        <x:v>1–20主体、每主体3方案、余额不足、内容拦截、模型超时、部分成功、刷新恢复</x:v>
      </x:c>
      <x:c r="Q41" s="13" t="str">
        <x:v>仅本人查看任务与结果；Worker 使用服务端权限；平台API Key不下发前端</x:v>
      </x:c>
      <x:c r="R41" s="13" t="str">
        <x:v>创建+扣点同事务；每用户1个活动任务；队列重投跳过已完成variant；图片保留30天</x:v>
      </x:c>
    </x:row>
    <x:row r="42" ht="72" customHeight="1">
      <x:c r="A42" s="13" t="str">
        <x:v>第 1 期</x:v>
      </x:c>
      <x:c r="B42" s="13" t="str">
        <x:v>2. 图标设计与生成</x:v>
      </x:c>
      <x:c r="C42" s="13" t="str">
        <x:v>P1-BE-003</x:v>
      </x:c>
      <x:c r="D42" s="13" t="str">
        <x:v>数据库 / 编写 v2 生成迁移</x:v>
      </x:c>
      <x:c r="E42" s="13" t="str">
        <x:v>P1-BE-003-05</x:v>
      </x:c>
      <x:c r="F42" s="13" t="str">
        <x:v>后端</x:v>
      </x:c>
      <x:c r="G42" s="13" t="str">
        <x:v>编写 v2 生成迁移：RLS 和创建任务事务 SQL</x:v>
      </x:c>
      <x:c r="H42" s="13" t="str">
        <x:v>编写 v2 生成迁移：RLS 和创建任务事务 SQL</x:v>
      </x:c>
      <x:c r="I42" s="13" t="str">
        <x:v>允许与拒绝场景均有自动化测试；敏感信息不进入浏览器、日志或导出文件。</x:v>
      </x:c>
      <x:c r="J42" s="13" t="str">
        <x:v>P1-BE-003-04</x:v>
      </x:c>
      <x:c r="K42" s="13" t="str">
        <x:v>已完成</x:v>
      </x:c>
      <x:c r="L42" s="13" t="str">
        <x:v>08-20</x:v>
      </x:c>
      <x:c r="M42" s="13" t="str">
        <x:v>2026-08-20</x:v>
      </x:c>
      <x:c r="N42" s="13" t="str">
        <x:v>job_id、subject_id、variant_id、asset_id 均为UUID；创建请求另带 idempotency_key；记录 settings/skill/model 版本</x:v>
      </x:c>
      <x:c r="O42" s="13" t="str">
        <x:v>job: queued/processing/completed/partial/failed；variant: queued/processing/completed/failed</x:v>
      </x:c>
      <x:c r="P42" s="13" t="str">
        <x:v>1–20主体、每主体3方案、余额不足、内容拦截、模型超时、部分成功、刷新恢复</x:v>
      </x:c>
      <x:c r="Q42" s="13" t="str">
        <x:v>仅本人查看任务与结果；Worker 使用服务端权限；平台API Key不下发前端</x:v>
      </x:c>
      <x:c r="R42" s="13" t="str">
        <x:v>创建+扣点同事务；每用户1个活动任务；队列重投跳过已完成variant；图片保留30天</x:v>
      </x:c>
    </x:row>
    <x:row r="43" ht="72" customHeight="1">
      <x:c r="A43" s="13" t="str">
        <x:v>第 1 期</x:v>
      </x:c>
      <x:c r="B43" s="13" t="str">
        <x:v>2. 图标设计与生成</x:v>
      </x:c>
      <x:c r="C43" s="13" t="str">
        <x:v>P1-BE-004</x:v>
      </x:c>
      <x:c r="D43" s="13" t="str">
        <x:v>Worker / Mock Image Provider</x:v>
      </x:c>
      <x:c r="E43" s="13" t="str">
        <x:v>P1-BE-004-01</x:v>
      </x:c>
      <x:c r="F43" s="13" t="str">
        <x:v>后端</x:v>
      </x:c>
      <x:c r="G43" s="13" t="str">
        <x:v>无 OpenAI Key 返回确定性 PNG</x:v>
      </x:c>
      <x:c r="H43" s="13" t="str">
        <x:v>无 OpenAI Key 返回确定性 PNG</x:v>
      </x:c>
      <x:c r="I43" s="13" t="str">
        <x:v>输出文件格式、数量、尺寸、透明/背景规则和所有权校验符合 PRD；失败可追踪。</x:v>
      </x:c>
      <x:c r="J43" s="13" t="str">
        <x:v>—</x:v>
      </x:c>
      <x:c r="K43" s="13" t="str">
        <x:v>已完成</x:v>
      </x:c>
      <x:c r="L43" s="13" t="str">
        <x:v>08-20</x:v>
      </x:c>
      <x:c r="M43" s="13" t="str">
        <x:v>2026-08-20</x:v>
      </x:c>
      <x:c r="N43" s="13" t="str">
        <x:v>job_id、subject_id、variant_id、asset_id 均为UUID；创建请求另带 idempotency_key；记录 settings/skill/model 版本</x:v>
      </x:c>
      <x:c r="O43" s="13" t="str">
        <x:v>job: queued/processing/completed/partial/failed；variant: queued/processing/completed/failed</x:v>
      </x:c>
      <x:c r="P43" s="13" t="str">
        <x:v>1–20主体、每主体3方案、余额不足、内容拦截、模型超时、部分成功、刷新恢复</x:v>
      </x:c>
      <x:c r="Q43" s="13" t="str">
        <x:v>仅本人查看任务与结果；Worker 使用服务端权限；平台API Key不下发前端</x:v>
      </x:c>
      <x:c r="R43" s="13" t="str">
        <x:v>创建+扣点同事务；每用户1个活动任务；队列重投跳过已完成variant；图片保留30天</x:v>
      </x:c>
    </x:row>
    <x:row r="44" ht="72" customHeight="1">
      <x:c r="A44" s="13" t="str">
        <x:v>第 1 期</x:v>
      </x:c>
      <x:c r="B44" s="13" t="str">
        <x:v>2. 图标设计与生成</x:v>
      </x:c>
      <x:c r="C44" s="13" t="str">
        <x:v>P1-BE-004</x:v>
      </x:c>
      <x:c r="D44" s="13" t="str">
        <x:v>Worker / Mock Image Provider</x:v>
      </x:c>
      <x:c r="E44" s="13" t="str">
        <x:v>P1-BE-004-02</x:v>
      </x:c>
      <x:c r="F44" s="13" t="str">
        <x:v>后端</x:v>
      </x:c>
      <x:c r="G44" s="13" t="str">
        <x:v>注册表可切换 mock/openai</x:v>
      </x:c>
      <x:c r="H44" s="13" t="str">
        <x:v>注册表可切换 mock/openai</x:v>
      </x:c>
      <x:c r="I44" s="13" t="str">
        <x:v>该条目可独立实现和验证；类型检查及对应测试通过；结果满足父任务验收标准。</x:v>
      </x:c>
      <x:c r="J44" s="13" t="str">
        <x:v>P1-BE-004-01</x:v>
      </x:c>
      <x:c r="K44" s="13" t="str">
        <x:v>已完成</x:v>
      </x:c>
      <x:c r="L44" s="13" t="str">
        <x:v>08-20</x:v>
      </x:c>
      <x:c r="M44" s="13" t="str">
        <x:v>2026-08-20</x:v>
      </x:c>
      <x:c r="N44" s="13" t="str">
        <x:v>job_id、subject_id、variant_id、asset_id 均为UUID；创建请求另带 idempotency_key；记录 settings/skill/model 版本</x:v>
      </x:c>
      <x:c r="O44" s="13" t="str">
        <x:v>job: queued/processing/completed/partial/failed；variant: queued/processing/completed/failed</x:v>
      </x:c>
      <x:c r="P44" s="13" t="str">
        <x:v>1–20主体、每主体3方案、余额不足、内容拦截、模型超时、部分成功、刷新恢复</x:v>
      </x:c>
      <x:c r="Q44" s="13" t="str">
        <x:v>仅本人查看任务与结果；Worker 使用服务端权限；平台API Key不下发前端</x:v>
      </x:c>
      <x:c r="R44" s="13" t="str">
        <x:v>创建+扣点同事务；每用户1个活动任务；队列重投跳过已完成variant；图片保留30天</x:v>
      </x:c>
    </x:row>
    <x:row r="45" ht="72" customHeight="1">
      <x:c r="A45" s="13" t="str">
        <x:v>第 1 期</x:v>
      </x:c>
      <x:c r="B45" s="13" t="str">
        <x:v>2. 图标设计与生成</x:v>
      </x:c>
      <x:c r="C45" s="13" t="str">
        <x:v>P1-BE-005</x:v>
      </x:c>
      <x:c r="D45" s="13" t="str">
        <x:v>模型配置 / 固定 medium 质量</x:v>
      </x:c>
      <x:c r="E45" s="13" t="str">
        <x:v>P1-BE-005-01</x:v>
      </x:c>
      <x:c r="F45" s="13" t="str">
        <x:v>后端</x:v>
      </x:c>
      <x:c r="G45" s="13" t="str">
        <x:v>`IMAGE_QUALITY=medium` 并显式传入 OpenAI Provider</x:v>
      </x:c>
      <x:c r="H45" s="13" t="str">
        <x:v>`IMAGE_QUALITY=medium` 并显式传入 OpenAI Provider</x:v>
      </x:c>
      <x:c r="I45" s="13" t="str">
        <x:v>该条目可独立实现和验证；类型检查及对应测试通过；结果满足父任务验收标准。</x:v>
      </x:c>
      <x:c r="J45" s="13" t="str">
        <x:v>—</x:v>
      </x:c>
      <x:c r="K45" s="13" t="str">
        <x:v>已完成</x:v>
      </x:c>
      <x:c r="L45" s="13" t="str">
        <x:v>08-20</x:v>
      </x:c>
      <x:c r="M45" s="13" t="str">
        <x:v>2026-08-20</x:v>
      </x:c>
      <x:c r="N45" s="13" t="str">
        <x:v>job_id、subject_id、variant_id、asset_id 均为UUID；创建请求另带 idempotency_key；记录 settings/skill/model 版本</x:v>
      </x:c>
      <x:c r="O45" s="13" t="str">
        <x:v>job: queued/processing/completed/partial/failed；variant: queued/processing/completed/failed</x:v>
      </x:c>
      <x:c r="P45" s="13" t="str">
        <x:v>1–20主体、每主体3方案、余额不足、内容拦截、模型超时、部分成功、刷新恢复</x:v>
      </x:c>
      <x:c r="Q45" s="13" t="str">
        <x:v>仅本人查看任务与结果；Worker 使用服务端权限；平台API Key不下发前端</x:v>
      </x:c>
      <x:c r="R45" s="13" t="str">
        <x:v>创建+扣点同事务；每用户1个活动任务；队列重投跳过已完成variant；图片保留30天</x:v>
      </x:c>
    </x:row>
    <x:row r="46" ht="72" customHeight="1">
      <x:c r="A46" s="13" t="str">
        <x:v>第 1 期</x:v>
      </x:c>
      <x:c r="B46" s="13" t="str">
        <x:v>6. 平台、工程与上线</x:v>
      </x:c>
      <x:c r="C46" s="13" t="str">
        <x:v>P1-DOC-003</x:v>
      </x:c>
      <x:c r="D46" s="13" t="str">
        <x:v>接口 / v2 前端调用手册</x:v>
      </x:c>
      <x:c r="E46" s="13" t="str">
        <x:v>P1-DOC-003-01</x:v>
      </x:c>
      <x:c r="F46" s="13" t="str">
        <x:v>后端（共享任务）</x:v>
      </x:c>
      <x:c r="G46" s="13" t="str">
        <x:v>v2 前端调用手册：创建请求</x:v>
      </x:c>
      <x:c r="H46" s="13" t="str">
        <x:v>v2 前端调用手册：创建请求</x:v>
      </x:c>
      <x:c r="I46" s="13" t="str">
        <x:v>该条目可独立实现和验证；类型检查及对应测试通过；结果满足父任务验收标准。</x:v>
      </x:c>
      <x:c r="J46" s="13" t="str">
        <x:v>—</x:v>
      </x:c>
      <x:c r="K46" s="13" t="str">
        <x:v>已完成</x:v>
      </x:c>
      <x:c r="L46" s="13" t="str">
        <x:v>08-20</x:v>
      </x:c>
      <x:c r="M46" s="13" t="str">
        <x:v>2026-08-20</x:v>
      </x:c>
      <x:c r="N46" s="13" t="str">
        <x:v>配置版本、Skill版本、模型名、部署版本、provider request ID和环境标识</x:v>
      </x:c>
      <x:c r="O46" s="13" t="str">
        <x:v>部署/服务 health状态；配置启用/停用；队列消息 queued/processing/DLQ</x:v>
      </x:c>
      <x:c r="P46" s="13" t="str">
        <x:v>配置缺失、密钥无效、限流、部署失败、队列积压、定时任务重复执行</x:v>
      </x:c>
      <x:c r="Q46" s="13" t="str">
        <x:v>环境与密钥隔离；最小权限；生产操作留审计；日志脱敏</x:v>
      </x:c>
      <x:c r="R46" s="13" t="str">
        <x:v>部署可回滚；Worker/清理任务可重入；密钥不入库不导出；日志按合规期限保留</x:v>
      </x:c>
    </x:row>
    <x:row r="47" ht="72" customHeight="1">
      <x:c r="A47" s="13" t="str">
        <x:v>第 1 期</x:v>
      </x:c>
      <x:c r="B47" s="13" t="str">
        <x:v>6. 平台、工程与上线</x:v>
      </x:c>
      <x:c r="C47" s="13" t="str">
        <x:v>P1-DOC-003</x:v>
      </x:c>
      <x:c r="D47" s="13" t="str">
        <x:v>接口 / v2 前端调用手册</x:v>
      </x:c>
      <x:c r="E47" s="13" t="str">
        <x:v>P1-DOC-003-02</x:v>
      </x:c>
      <x:c r="F47" s="13" t="str">
        <x:v>后端（共享任务）</x:v>
      </x:c>
      <x:c r="G47" s="13" t="str">
        <x:v>v2 前端调用手册：任务响应</x:v>
      </x:c>
      <x:c r="H47" s="13" t="str">
        <x:v>v2 前端调用手册：任务响应</x:v>
      </x:c>
      <x:c r="I47" s="13" t="str">
        <x:v>该条目可独立实现和验证；类型检查及对应测试通过；结果满足父任务验收标准。</x:v>
      </x:c>
      <x:c r="J47" s="13" t="str">
        <x:v>P1-DOC-003-01</x:v>
      </x:c>
      <x:c r="K47" s="13" t="str">
        <x:v>已完成</x:v>
      </x:c>
      <x:c r="L47" s="13" t="str">
        <x:v>08-20</x:v>
      </x:c>
      <x:c r="M47" s="13" t="str">
        <x:v>2026-08-20</x:v>
      </x:c>
      <x:c r="N47" s="13" t="str">
        <x:v>配置版本、Skill版本、模型名、部署版本、provider request ID和环境标识</x:v>
      </x:c>
      <x:c r="O47" s="13" t="str">
        <x:v>部署/服务 health状态；配置启用/停用；队列消息 queued/processing/DLQ</x:v>
      </x:c>
      <x:c r="P47" s="13" t="str">
        <x:v>配置缺失、密钥无效、限流、部署失败、队列积压、定时任务重复执行</x:v>
      </x:c>
      <x:c r="Q47" s="13" t="str">
        <x:v>环境与密钥隔离；最小权限；生产操作留审计；日志脱敏</x:v>
      </x:c>
      <x:c r="R47" s="13" t="str">
        <x:v>部署可回滚；Worker/清理任务可重入；密钥不入库不导出；日志按合规期限保留</x:v>
      </x:c>
    </x:row>
    <x:row r="48" ht="72" customHeight="1">
      <x:c r="A48" s="13" t="str">
        <x:v>第 1 期</x:v>
      </x:c>
      <x:c r="B48" s="13" t="str">
        <x:v>6. 平台、工程与上线</x:v>
      </x:c>
      <x:c r="C48" s="13" t="str">
        <x:v>P1-DOC-003</x:v>
      </x:c>
      <x:c r="D48" s="13" t="str">
        <x:v>接口 / v2 前端调用手册</x:v>
      </x:c>
      <x:c r="E48" s="13" t="str">
        <x:v>P1-DOC-003-03</x:v>
      </x:c>
      <x:c r="F48" s="13" t="str">
        <x:v>后端（共享任务）</x:v>
      </x:c>
      <x:c r="G48" s="13" t="str">
        <x:v>v2 前端调用手册：错误码</x:v>
      </x:c>
      <x:c r="H48" s="13" t="str">
        <x:v>v2 前端调用手册：错误码</x:v>
      </x:c>
      <x:c r="I48" s="13" t="str">
        <x:v>该条目可独立实现和验证；类型检查及对应测试通过；结果满足父任务验收标准。</x:v>
      </x:c>
      <x:c r="J48" s="13" t="str">
        <x:v>P1-DOC-003-02</x:v>
      </x:c>
      <x:c r="K48" s="13" t="str">
        <x:v>已完成</x:v>
      </x:c>
      <x:c r="L48" s="13" t="str">
        <x:v>08-20</x:v>
      </x:c>
      <x:c r="M48" s="13" t="str">
        <x:v>2026-08-20</x:v>
      </x:c>
      <x:c r="N48" s="13" t="str">
        <x:v>配置版本、Skill版本、模型名、部署版本、provider request ID和环境标识</x:v>
      </x:c>
      <x:c r="O48" s="13" t="str">
        <x:v>部署/服务 health状态；配置启用/停用；队列消息 queued/processing/DLQ</x:v>
      </x:c>
      <x:c r="P48" s="13" t="str">
        <x:v>配置缺失、密钥无效、限流、部署失败、队列积压、定时任务重复执行</x:v>
      </x:c>
      <x:c r="Q48" s="13" t="str">
        <x:v>环境与密钥隔离；最小权限；生产操作留审计；日志脱敏</x:v>
      </x:c>
      <x:c r="R48" s="13" t="str">
        <x:v>部署可回滚；Worker/清理任务可重入；密钥不入库不导出；日志按合规期限保留</x:v>
      </x:c>
    </x:row>
    <x:row r="49" ht="72" customHeight="1">
      <x:c r="A49" s="13" t="str">
        <x:v>第 1 期</x:v>
      </x:c>
      <x:c r="B49" s="13" t="str">
        <x:v>6. 平台、工程与上线</x:v>
      </x:c>
      <x:c r="C49" s="13" t="str">
        <x:v>P1-DOC-003</x:v>
      </x:c>
      <x:c r="D49" s="13" t="str">
        <x:v>接口 / v2 前端调用手册</x:v>
      </x:c>
      <x:c r="E49" s="13" t="str">
        <x:v>P1-DOC-003-04</x:v>
      </x:c>
      <x:c r="F49" s="13" t="str">
        <x:v>后端（共享任务）</x:v>
      </x:c>
      <x:c r="G49" s="13" t="str">
        <x:v>v2 前端调用手册：轮询与迁移边界</x:v>
      </x:c>
      <x:c r="H49" s="13" t="str">
        <x:v>v2 前端调用手册：轮询与迁移边界</x:v>
      </x:c>
      <x:c r="I49" s="13" t="str">
        <x:v>该条目可独立实现和验证；类型检查及对应测试通过；结果满足父任务验收标准。</x:v>
      </x:c>
      <x:c r="J49" s="13" t="str">
        <x:v>P1-DOC-003-03</x:v>
      </x:c>
      <x:c r="K49" s="13" t="str">
        <x:v>已完成</x:v>
      </x:c>
      <x:c r="L49" s="13" t="str">
        <x:v>08-20</x:v>
      </x:c>
      <x:c r="M49" s="13" t="str">
        <x:v>2026-08-20</x:v>
      </x:c>
      <x:c r="N49" s="13" t="str">
        <x:v>配置版本、Skill版本、模型名、部署版本、provider request ID和环境标识</x:v>
      </x:c>
      <x:c r="O49" s="13" t="str">
        <x:v>部署/服务 health状态；配置启用/停用；队列消息 queued/processing/DLQ</x:v>
      </x:c>
      <x:c r="P49" s="13" t="str">
        <x:v>配置缺失、密钥无效、限流、部署失败、队列积压、定时任务重复执行</x:v>
      </x:c>
      <x:c r="Q49" s="13" t="str">
        <x:v>环境与密钥隔离；最小权限；生产操作留审计；日志脱敏</x:v>
      </x:c>
      <x:c r="R49" s="13" t="str">
        <x:v>部署可回滚；Worker/清理任务可重入；密钥不入库不导出；日志按合规期限保留</x:v>
      </x:c>
    </x:row>
    <x:row r="50" ht="72" customHeight="1">
      <x:c r="A50" s="13" t="str">
        <x:v>第 1 期</x:v>
      </x:c>
      <x:c r="B50" s="13" t="str">
        <x:v>6. 平台、工程与上线</x:v>
      </x:c>
      <x:c r="C50" s="13" t="str">
        <x:v>P1-BE-006</x:v>
      </x:c>
      <x:c r="D50" s="13" t="str">
        <x:v>数据库 / 应用并验证数据库迁移</x:v>
      </x:c>
      <x:c r="E50" s="13" t="str">
        <x:v>P1-BE-006-01</x:v>
      </x:c>
      <x:c r="F50" s="13" t="str">
        <x:v>后端</x:v>
      </x:c>
      <x:c r="G50" s="13" t="str">
        <x:v>本地/测试 Supabase 执行 0001–0004</x:v>
      </x:c>
      <x:c r="H50" s="13" t="str">
        <x:v>本地/测试 Supabase 执行 0001–0004</x:v>
      </x:c>
      <x:c r="I50" s="13" t="str">
        <x:v>自动化用例通过并保存验收结果；覆盖主流程、异常、刷新恢复和重复操作。</x:v>
      </x:c>
      <x:c r="J50" s="13" t="str">
        <x:v>—</x:v>
      </x:c>
      <x:c r="K50" s="13" t="str">
        <x:v>待完成</x:v>
      </x:c>
      <x:c r="L50" s="13" t="str">
        <x:v>08-21～08-22</x:v>
      </x:c>
      <x:c r="M50" s="13" t="str">
        <x:v>—</x:v>
      </x:c>
      <x:c r="N50" s="13" t="str">
        <x:v>配置版本、Skill版本、模型名、部署版本、provider request ID和环境标识</x:v>
      </x:c>
      <x:c r="O50" s="13" t="str">
        <x:v>部署/服务 health状态；配置启用/停用；队列消息 queued/processing/DLQ</x:v>
      </x:c>
      <x:c r="P50" s="13" t="str">
        <x:v>配置缺失、密钥无效、限流、部署失败、队列积压、定时任务重复执行</x:v>
      </x:c>
      <x:c r="Q50" s="13" t="str">
        <x:v>环境与密钥隔离；最小权限；生产操作留审计；日志脱敏</x:v>
      </x:c>
      <x:c r="R50" s="13" t="str">
        <x:v>部署可回滚；Worker/清理任务可重入；密钥不入库不导出；日志按合规期限保留</x:v>
      </x:c>
    </x:row>
    <x:row r="51" ht="72" customHeight="1">
      <x:c r="A51" s="13" t="str">
        <x:v>第 1 期</x:v>
      </x:c>
      <x:c r="B51" s="13" t="str">
        <x:v>6. 平台、工程与上线</x:v>
      </x:c>
      <x:c r="C51" s="13" t="str">
        <x:v>P1-BE-006</x:v>
      </x:c>
      <x:c r="D51" s="13" t="str">
        <x:v>数据库 / 应用并验证数据库迁移</x:v>
      </x:c>
      <x:c r="E51" s="13" t="str">
        <x:v>P1-BE-006-02</x:v>
      </x:c>
      <x:c r="F51" s="13" t="str">
        <x:v>后端</x:v>
      </x:c>
      <x:c r="G51" s="13" t="str">
        <x:v>应用并验证数据库迁移：验证 RLS</x:v>
      </x:c>
      <x:c r="H51" s="13" t="str">
        <x:v>应用并验证数据库迁移：验证 RLS</x:v>
      </x:c>
      <x:c r="I51" s="13" t="str">
        <x:v>允许与拒绝场景均有自动化测试；敏感信息不进入浏览器、日志或导出文件。</x:v>
      </x:c>
      <x:c r="J51" s="13" t="str">
        <x:v>P1-BE-006-01</x:v>
      </x:c>
      <x:c r="K51" s="13" t="str">
        <x:v>待完成</x:v>
      </x:c>
      <x:c r="L51" s="13" t="str">
        <x:v>08-21～08-22</x:v>
      </x:c>
      <x:c r="M51" s="13" t="str">
        <x:v>—</x:v>
      </x:c>
      <x:c r="N51" s="13" t="str">
        <x:v>配置版本、Skill版本、模型名、部署版本、provider request ID和环境标识</x:v>
      </x:c>
      <x:c r="O51" s="13" t="str">
        <x:v>部署/服务 health状态；配置启用/停用；队列消息 queued/processing/DLQ</x:v>
      </x:c>
      <x:c r="P51" s="13" t="str">
        <x:v>配置缺失、密钥无效、限流、部署失败、队列积压、定时任务重复执行</x:v>
      </x:c>
      <x:c r="Q51" s="13" t="str">
        <x:v>环境与密钥隔离；最小权限；生产操作留审计；日志脱敏</x:v>
      </x:c>
      <x:c r="R51" s="13" t="str">
        <x:v>部署可回滚；Worker/清理任务可重入；密钥不入库不导出；日志按合规期限保留</x:v>
      </x:c>
    </x:row>
    <x:row r="52" ht="72" customHeight="1">
      <x:c r="A52" s="13" t="str">
        <x:v>第 1 期</x:v>
      </x:c>
      <x:c r="B52" s="13" t="str">
        <x:v>6. 平台、工程与上线</x:v>
      </x:c>
      <x:c r="C52" s="13" t="str">
        <x:v>P1-BE-006</x:v>
      </x:c>
      <x:c r="D52" s="13" t="str">
        <x:v>数据库 / 应用并验证数据库迁移</x:v>
      </x:c>
      <x:c r="E52" s="13" t="str">
        <x:v>P1-BE-006-03</x:v>
      </x:c>
      <x:c r="F52" s="13" t="str">
        <x:v>后端</x:v>
      </x:c>
      <x:c r="G52" s="13" t="str">
        <x:v>应用并验证数据库迁移：唯一索引和事务回滚</x:v>
      </x:c>
      <x:c r="H52" s="13" t="str">
        <x:v>应用并验证数据库迁移：唯一索引和事务回滚</x:v>
      </x:c>
      <x:c r="I52" s="13" t="str">
        <x:v>重复与并发请求不重复创建、扣点或入账；任一步失败可回滚并可安全重试。</x:v>
      </x:c>
      <x:c r="J52" s="13" t="str">
        <x:v>P1-BE-006-02</x:v>
      </x:c>
      <x:c r="K52" s="13" t="str">
        <x:v>待完成</x:v>
      </x:c>
      <x:c r="L52" s="13" t="str">
        <x:v>08-21～08-22</x:v>
      </x:c>
      <x:c r="M52" s="13" t="str">
        <x:v>—</x:v>
      </x:c>
      <x:c r="N52" s="13" t="str">
        <x:v>配置版本、Skill版本、模型名、部署版本、provider request ID和环境标识</x:v>
      </x:c>
      <x:c r="O52" s="13" t="str">
        <x:v>部署/服务 health状态；配置启用/停用；队列消息 queued/processing/DLQ</x:v>
      </x:c>
      <x:c r="P52" s="13" t="str">
        <x:v>配置缺失、密钥无效、限流、部署失败、队列积压、定时任务重复执行</x:v>
      </x:c>
      <x:c r="Q52" s="13" t="str">
        <x:v>环境与密钥隔离；最小权限；生产操作留审计；日志脱敏</x:v>
      </x:c>
      <x:c r="R52" s="13" t="str">
        <x:v>部署可回滚；Worker/清理任务可重入；密钥不入库不导出；日志按合规期限保留</x:v>
      </x:c>
    </x:row>
    <x:row r="53" ht="72" customHeight="1">
      <x:c r="A53" s="13" t="str">
        <x:v>第 1 期</x:v>
      </x:c>
      <x:c r="B53" s="13" t="str">
        <x:v>4. 点数与商业化</x:v>
      </x:c>
      <x:c r="C53" s="13" t="str">
        <x:v>P1-BE-007</x:v>
      </x:c>
      <x:c r="D53" s="13" t="str">
        <x:v>体验点数 / 实现新用户 6 点</x:v>
      </x:c>
      <x:c r="E53" s="13" t="str">
        <x:v>P1-BE-007-01</x:v>
      </x:c>
      <x:c r="F53" s="13" t="str">
        <x:v>后端</x:v>
      </x:c>
      <x:c r="G53" s="13" t="str">
        <x:v>实现新用户 6 点：`signup_bonus` 账本枚举</x:v>
      </x:c>
      <x:c r="H53" s="13" t="str">
        <x:v>实现新用户 6 点：`signup_bonus` 账本枚举</x:v>
      </x:c>
      <x:c r="I53" s="13" t="str">
        <x:v>该条目可独立实现和验证；类型检查及对应测试通过；结果满足父任务验收标准。</x:v>
      </x:c>
      <x:c r="J53" s="13" t="str">
        <x:v>—</x:v>
      </x:c>
      <x:c r="K53" s="13" t="str">
        <x:v>待完成</x:v>
      </x:c>
      <x:c r="L53" s="13" t="str">
        <x:v>08-21～08-22</x:v>
      </x:c>
      <x:c r="M53" s="13" t="str">
        <x:v>—</x:v>
      </x:c>
      <x:c r="N53" s="13" t="str">
        <x:v>order id(UUID)+order_number(后端生成)；ledger_id(UUID)；Stripe session/payment/event ID；package/pricing version</x:v>
      </x:c>
      <x:c r="O53" s="13" t="str">
        <x:v>order: pending/paid/canceled/expired/failed/refunded；账本记录不可变，余额为快照</x:v>
      </x:c>
      <x:c r="P53" s="13" t="str">
        <x:v>套餐停用/改价、重复点击、Checkout失败、Webhook重复/乱序/伪造、金额币种不一致、退款争议</x:v>
      </x:c>
      <x:c r="Q53" s="13" t="str">
        <x:v>用户只读本人订单/账本；只有验签Webhook可入账；管理员调点需授权和审计</x:v>
      </x:c>
      <x:c r="R53" s="13" t="str">
        <x:v>(user_id,idempotency_key)防重复下单；Event ID去重；订单行锁原子入账；订单/账本进入个人数据导出</x:v>
      </x:c>
    </x:row>
    <x:row r="54" ht="72" customHeight="1">
      <x:c r="A54" s="13" t="str">
        <x:v>第 1 期</x:v>
      </x:c>
      <x:c r="B54" s="13" t="str">
        <x:v>4. 点数与商业化</x:v>
      </x:c>
      <x:c r="C54" s="13" t="str">
        <x:v>P1-BE-007</x:v>
      </x:c>
      <x:c r="D54" s="13" t="str">
        <x:v>体验点数 / 实现新用户 6 点</x:v>
      </x:c>
      <x:c r="E54" s="13" t="str">
        <x:v>P1-BE-007-02</x:v>
      </x:c>
      <x:c r="F54" s="13" t="str">
        <x:v>后端</x:v>
      </x:c>
      <x:c r="G54" s="13" t="str">
        <x:v>实现新用户 6 点：幂等发放</x:v>
      </x:c>
      <x:c r="H54" s="13" t="str">
        <x:v>实现新用户 6 点：幂等发放</x:v>
      </x:c>
      <x:c r="I54" s="13" t="str">
        <x:v>重复与并发请求不重复创建、扣点或入账；任一步失败可回滚并可安全重试。</x:v>
      </x:c>
      <x:c r="J54" s="13" t="str">
        <x:v>P1-BE-007-01</x:v>
      </x:c>
      <x:c r="K54" s="13" t="str">
        <x:v>待完成</x:v>
      </x:c>
      <x:c r="L54" s="13" t="str">
        <x:v>08-21～08-22</x:v>
      </x:c>
      <x:c r="M54" s="13" t="str">
        <x:v>—</x:v>
      </x:c>
      <x:c r="N54" s="13" t="str">
        <x:v>order id(UUID)+order_number(后端生成)；ledger_id(UUID)；Stripe session/payment/event ID；package/pricing version</x:v>
      </x:c>
      <x:c r="O54" s="13" t="str">
        <x:v>order: pending/paid/canceled/expired/failed/refunded；账本记录不可变，余额为快照</x:v>
      </x:c>
      <x:c r="P54" s="13" t="str">
        <x:v>套餐停用/改价、重复点击、Checkout失败、Webhook重复/乱序/伪造、金额币种不一致、退款争议</x:v>
      </x:c>
      <x:c r="Q54" s="13" t="str">
        <x:v>用户只读本人订单/账本；只有验签Webhook可入账；管理员调点需授权和审计</x:v>
      </x:c>
      <x:c r="R54" s="13" t="str">
        <x:v>(user_id,idempotency_key)防重复下单；Event ID去重；订单行锁原子入账；订单/账本进入个人数据导出</x:v>
      </x:c>
    </x:row>
    <x:row r="55" ht="72" customHeight="1">
      <x:c r="A55" s="13" t="str">
        <x:v>第 1 期</x:v>
      </x:c>
      <x:c r="B55" s="13" t="str">
        <x:v>4. 点数与商业化</x:v>
      </x:c>
      <x:c r="C55" s="13" t="str">
        <x:v>P1-BE-007</x:v>
      </x:c>
      <x:c r="D55" s="13" t="str">
        <x:v>体验点数 / 实现新用户 6 点</x:v>
      </x:c>
      <x:c r="E55" s="13" t="str">
        <x:v>P1-BE-007-03</x:v>
      </x:c>
      <x:c r="F55" s="13" t="str">
        <x:v>后端</x:v>
      </x:c>
      <x:c r="G55" s="13" t="str">
        <x:v>实现新用户 6 点：余额一致性和测试</x:v>
      </x:c>
      <x:c r="H55" s="13" t="str">
        <x:v>实现新用户 6 点：余额一致性和测试</x:v>
      </x:c>
      <x:c r="I55" s="13" t="str">
        <x:v>自动化用例通过并保存验收结果；覆盖主流程、异常、刷新恢复和重复操作。</x:v>
      </x:c>
      <x:c r="J55" s="13" t="str">
        <x:v>P1-BE-007-02</x:v>
      </x:c>
      <x:c r="K55" s="13" t="str">
        <x:v>待完成</x:v>
      </x:c>
      <x:c r="L55" s="13" t="str">
        <x:v>08-21～08-22</x:v>
      </x:c>
      <x:c r="M55" s="13" t="str">
        <x:v>—</x:v>
      </x:c>
      <x:c r="N55" s="13" t="str">
        <x:v>order id(UUID)+order_number(后端生成)；ledger_id(UUID)；Stripe session/payment/event ID；package/pricing version</x:v>
      </x:c>
      <x:c r="O55" s="13" t="str">
        <x:v>order: pending/paid/canceled/expired/failed/refunded；账本记录不可变，余额为快照</x:v>
      </x:c>
      <x:c r="P55" s="13" t="str">
        <x:v>套餐停用/改价、重复点击、Checkout失败、Webhook重复/乱序/伪造、金额币种不一致、退款争议</x:v>
      </x:c>
      <x:c r="Q55" s="13" t="str">
        <x:v>用户只读本人订单/账本；只有验签Webhook可入账；管理员调点需授权和审计</x:v>
      </x:c>
      <x:c r="R55" s="13" t="str">
        <x:v>(user_id,idempotency_key)防重复下单；Event ID去重；订单行锁原子入账；订单/账本进入个人数据导出</x:v>
      </x:c>
    </x:row>
    <x:row r="56" ht="72" customHeight="1">
      <x:c r="A56" s="13" t="str">
        <x:v>第 1 期</x:v>
      </x:c>
      <x:c r="B56" s="13" t="str">
        <x:v>2. 图标设计与生成</x:v>
      </x:c>
      <x:c r="C56" s="13" t="str">
        <x:v>P1-BE-008</x:v>
      </x:c>
      <x:c r="D56" s="13" t="str">
        <x:v>设置 API / 实现核心设置接口</x:v>
      </x:c>
      <x:c r="E56" s="13" t="str">
        <x:v>P1-BE-008-01</x:v>
      </x:c>
      <x:c r="F56" s="13" t="str">
        <x:v>后端</x:v>
      </x:c>
      <x:c r="G56" s="13" t="str">
        <x:v>实现核心设置接口：`GET /api/generation/settings` 返回版本</x:v>
      </x:c>
      <x:c r="H56" s="13" t="str">
        <x:v>实现核心设置接口：`GET /api/generation/settings` 返回版本</x:v>
      </x:c>
      <x:c r="I56" s="13" t="str">
        <x:v>请求、成功响应和稳定错误码均有测试；鉴权与越权场景通过；接口文档可供联调。</x:v>
      </x:c>
      <x:c r="J56" s="13" t="str">
        <x:v>—</x:v>
      </x:c>
      <x:c r="K56" s="13" t="str">
        <x:v>待完成</x:v>
      </x:c>
      <x:c r="L56" s="13" t="str">
        <x:v>08-22</x:v>
      </x:c>
      <x:c r="M56" s="13" t="str">
        <x:v>—</x:v>
      </x:c>
      <x:c r="N56" s="13" t="str">
        <x:v>job_id、subject_id、variant_id、asset_id 均为UUID；创建请求另带 idempotency_key；记录 settings/skill/model 版本</x:v>
      </x:c>
      <x:c r="O56" s="13" t="str">
        <x:v>job: queued/processing/completed/partial/failed；variant: queued/processing/completed/failed</x:v>
      </x:c>
      <x:c r="P56" s="13" t="str">
        <x:v>1–20主体、每主体3方案、余额不足、内容拦截、模型超时、部分成功、刷新恢复</x:v>
      </x:c>
      <x:c r="Q56" s="13" t="str">
        <x:v>仅本人查看任务与结果；Worker 使用服务端权限；平台API Key不下发前端</x:v>
      </x:c>
      <x:c r="R56" s="13" t="str">
        <x:v>创建+扣点同事务；每用户1个活动任务；队列重投跳过已完成variant；图片保留30天</x:v>
      </x:c>
    </x:row>
    <x:row r="57" ht="72" customHeight="1">
      <x:c r="A57" s="13" t="str">
        <x:v>第 1 期</x:v>
      </x:c>
      <x:c r="B57" s="13" t="str">
        <x:v>2. 图标设计与生成</x:v>
      </x:c>
      <x:c r="C57" s="13" t="str">
        <x:v>P1-BE-008</x:v>
      </x:c>
      <x:c r="D57" s="13" t="str">
        <x:v>设置 API / 实现核心设置接口</x:v>
      </x:c>
      <x:c r="E57" s="13" t="str">
        <x:v>P1-BE-008-02</x:v>
      </x:c>
      <x:c r="F57" s="13" t="str">
        <x:v>后端</x:v>
      </x:c>
      <x:c r="G57" s="13" t="str">
        <x:v>实现核心设置接口：25 项</x:v>
      </x:c>
      <x:c r="H57" s="13" t="str">
        <x:v>实现核心设置接口：25 项</x:v>
      </x:c>
      <x:c r="I57" s="13" t="str">
        <x:v>请求、成功响应和稳定错误码均有测试；鉴权与越权场景通过；接口文档可供联调。</x:v>
      </x:c>
      <x:c r="J57" s="13" t="str">
        <x:v>P1-BE-008-01</x:v>
      </x:c>
      <x:c r="K57" s="13" t="str">
        <x:v>待完成</x:v>
      </x:c>
      <x:c r="L57" s="13" t="str">
        <x:v>08-22</x:v>
      </x:c>
      <x:c r="M57" s="13" t="str">
        <x:v>—</x:v>
      </x:c>
      <x:c r="N57" s="13" t="str">
        <x:v>job_id、subject_id、variant_id、asset_id 均为UUID；创建请求另带 idempotency_key；记录 settings/skill/model 版本</x:v>
      </x:c>
      <x:c r="O57" s="13" t="str">
        <x:v>job: queued/processing/completed/partial/failed；variant: queued/processing/completed/failed</x:v>
      </x:c>
      <x:c r="P57" s="13" t="str">
        <x:v>1–20主体、每主体3方案、余额不足、内容拦截、模型超时、部分成功、刷新恢复</x:v>
      </x:c>
      <x:c r="Q57" s="13" t="str">
        <x:v>仅本人查看任务与结果；Worker 使用服务端权限；平台API Key不下发前端</x:v>
      </x:c>
      <x:c r="R57" s="13" t="str">
        <x:v>创建+扣点同事务；每用户1个活动任务；队列重投跳过已完成variant；图片保留30天</x:v>
      </x:c>
    </x:row>
    <x:row r="58" ht="72" customHeight="1">
      <x:c r="A58" s="13" t="str">
        <x:v>第 1 期</x:v>
      </x:c>
      <x:c r="B58" s="13" t="str">
        <x:v>2. 图标设计与生成</x:v>
      </x:c>
      <x:c r="C58" s="13" t="str">
        <x:v>P1-BE-008</x:v>
      </x:c>
      <x:c r="D58" s="13" t="str">
        <x:v>设置 API / 实现核心设置接口</x:v>
      </x:c>
      <x:c r="E58" s="13" t="str">
        <x:v>P1-BE-008-03</x:v>
      </x:c>
      <x:c r="F58" s="13" t="str">
        <x:v>后端</x:v>
      </x:c>
      <x:c r="G58" s="13" t="str">
        <x:v>实现核心设置接口：尺寸和主体上限</x:v>
      </x:c>
      <x:c r="H58" s="13" t="str">
        <x:v>实现核心设置接口：尺寸和主体上限</x:v>
      </x:c>
      <x:c r="I58" s="13" t="str">
        <x:v>请求、成功响应和稳定错误码均有测试；鉴权与越权场景通过；接口文档可供联调。</x:v>
      </x:c>
      <x:c r="J58" s="13" t="str">
        <x:v>P1-BE-008-02</x:v>
      </x:c>
      <x:c r="K58" s="13" t="str">
        <x:v>待完成</x:v>
      </x:c>
      <x:c r="L58" s="13" t="str">
        <x:v>08-22</x:v>
      </x:c>
      <x:c r="M58" s="13" t="str">
        <x:v>—</x:v>
      </x:c>
      <x:c r="N58" s="13" t="str">
        <x:v>job_id、subject_id、variant_id、asset_id 均为UUID；创建请求另带 idempotency_key；记录 settings/skill/model 版本</x:v>
      </x:c>
      <x:c r="O58" s="13" t="str">
        <x:v>job: queued/processing/completed/partial/failed；variant: queued/processing/completed/failed</x:v>
      </x:c>
      <x:c r="P58" s="13" t="str">
        <x:v>1–20主体、每主体3方案、余额不足、内容拦截、模型超时、部分成功、刷新恢复</x:v>
      </x:c>
      <x:c r="Q58" s="13" t="str">
        <x:v>仅本人查看任务与结果；Worker 使用服务端权限；平台API Key不下发前端</x:v>
      </x:c>
      <x:c r="R58" s="13" t="str">
        <x:v>创建+扣点同事务；每用户1个活动任务；队列重投跳过已完成variant；图片保留30天</x:v>
      </x:c>
    </x:row>
    <x:row r="59" ht="72" customHeight="1">
      <x:c r="A59" s="13" t="str">
        <x:v>第 1 期</x:v>
      </x:c>
      <x:c r="B59" s="13" t="str">
        <x:v>2. 图标设计与生成</x:v>
      </x:c>
      <x:c r="C59" s="13" t="str">
        <x:v>P1-BE-009</x:v>
      </x:c>
      <x:c r="D59" s="13" t="str">
        <x:v>生成 API / 创建 v2 任务</x:v>
      </x:c>
      <x:c r="E59" s="13" t="str">
        <x:v>P1-BE-009-01</x:v>
      </x:c>
      <x:c r="F59" s="13" t="str">
        <x:v>后端</x:v>
      </x:c>
      <x:c r="G59" s="13" t="str">
        <x:v>创建 v2 任务：鉴权</x:v>
      </x:c>
      <x:c r="H59" s="13" t="str">
        <x:v>创建 v2 任务：鉴权</x:v>
      </x:c>
      <x:c r="I59" s="13" t="str">
        <x:v>该条目可独立实现和验证；类型检查及对应测试通过；结果满足父任务验收标准。</x:v>
      </x:c>
      <x:c r="J59" s="13" t="str">
        <x:v>P1-BE-006,P1-BE-007,P1-BE-008</x:v>
      </x:c>
      <x:c r="K59" s="13" t="str">
        <x:v>待完成</x:v>
      </x:c>
      <x:c r="L59" s="13" t="str">
        <x:v>08-22～08-24</x:v>
      </x:c>
      <x:c r="M59" s="13" t="str">
        <x:v>—</x:v>
      </x:c>
      <x:c r="N59" s="13" t="str">
        <x:v>job_id、subject_id、variant_id、asset_id 均为UUID；创建请求另带 idempotency_key；记录 settings/skill/model 版本</x:v>
      </x:c>
      <x:c r="O59" s="13" t="str">
        <x:v>job: queued/processing/completed/partial/failed；variant: queued/processing/completed/failed</x:v>
      </x:c>
      <x:c r="P59" s="13" t="str">
        <x:v>1–20主体、每主体3方案、余额不足、内容拦截、模型超时、部分成功、刷新恢复</x:v>
      </x:c>
      <x:c r="Q59" s="13" t="str">
        <x:v>仅本人查看任务与结果；Worker 使用服务端权限；平台API Key不下发前端</x:v>
      </x:c>
      <x:c r="R59" s="13" t="str">
        <x:v>创建+扣点同事务；每用户1个活动任务；队列重投跳过已完成variant；图片保留30天</x:v>
      </x:c>
    </x:row>
    <x:row r="60" ht="72" customHeight="1">
      <x:c r="A60" s="13" t="str">
        <x:v>第 1 期</x:v>
      </x:c>
      <x:c r="B60" s="13" t="str">
        <x:v>2. 图标设计与生成</x:v>
      </x:c>
      <x:c r="C60" s="13" t="str">
        <x:v>P1-BE-009</x:v>
      </x:c>
      <x:c r="D60" s="13" t="str">
        <x:v>生成 API / 创建 v2 任务</x:v>
      </x:c>
      <x:c r="E60" s="13" t="str">
        <x:v>P1-BE-009-02</x:v>
      </x:c>
      <x:c r="F60" s="13" t="str">
        <x:v>后端</x:v>
      </x:c>
      <x:c r="G60" s="13" t="str">
        <x:v>创建 v2 任务：v2 校验</x:v>
      </x:c>
      <x:c r="H60" s="13" t="str">
        <x:v>创建 v2 任务：v2 校验</x:v>
      </x:c>
      <x:c r="I60" s="13" t="str">
        <x:v>该条目可独立实现和验证；类型检查及对应测试通过；结果满足父任务验收标准。</x:v>
      </x:c>
      <x:c r="J60" s="13" t="str">
        <x:v>P1-BE-009-01</x:v>
      </x:c>
      <x:c r="K60" s="13" t="str">
        <x:v>待完成</x:v>
      </x:c>
      <x:c r="L60" s="13" t="str">
        <x:v>08-22～08-24</x:v>
      </x:c>
      <x:c r="M60" s="13" t="str">
        <x:v>—</x:v>
      </x:c>
      <x:c r="N60" s="13" t="str">
        <x:v>job_id、subject_id、variant_id、asset_id 均为UUID；创建请求另带 idempotency_key；记录 settings/skill/model 版本</x:v>
      </x:c>
      <x:c r="O60" s="13" t="str">
        <x:v>job: queued/processing/completed/partial/failed；variant: queued/processing/completed/failed</x:v>
      </x:c>
      <x:c r="P60" s="13" t="str">
        <x:v>1–20主体、每主体3方案、余额不足、内容拦截、模型超时、部分成功、刷新恢复</x:v>
      </x:c>
      <x:c r="Q60" s="13" t="str">
        <x:v>仅本人查看任务与结果；Worker 使用服务端权限；平台API Key不下发前端</x:v>
      </x:c>
      <x:c r="R60" s="13" t="str">
        <x:v>创建+扣点同事务；每用户1个活动任务；队列重投跳过已完成variant；图片保留30天</x:v>
      </x:c>
    </x:row>
    <x:row r="61" ht="72" customHeight="1">
      <x:c r="A61" s="13" t="str">
        <x:v>第 1 期</x:v>
      </x:c>
      <x:c r="B61" s="13" t="str">
        <x:v>2. 图标设计与生成</x:v>
      </x:c>
      <x:c r="C61" s="13" t="str">
        <x:v>P1-BE-009</x:v>
      </x:c>
      <x:c r="D61" s="13" t="str">
        <x:v>生成 API / 创建 v2 任务</x:v>
      </x:c>
      <x:c r="E61" s="13" t="str">
        <x:v>P1-BE-009-03</x:v>
      </x:c>
      <x:c r="F61" s="13" t="str">
        <x:v>后端</x:v>
      </x:c>
      <x:c r="G61" s="13" t="str">
        <x:v>创建 v2 任务：内容检查</x:v>
      </x:c>
      <x:c r="H61" s="13" t="str">
        <x:v>创建 v2 任务：内容检查</x:v>
      </x:c>
      <x:c r="I61" s="13" t="str">
        <x:v>该条目可独立实现和验证；类型检查及对应测试通过；结果满足父任务验收标准。</x:v>
      </x:c>
      <x:c r="J61" s="13" t="str">
        <x:v>P1-BE-009-02</x:v>
      </x:c>
      <x:c r="K61" s="13" t="str">
        <x:v>待完成</x:v>
      </x:c>
      <x:c r="L61" s="13" t="str">
        <x:v>08-22～08-24</x:v>
      </x:c>
      <x:c r="M61" s="13" t="str">
        <x:v>—</x:v>
      </x:c>
      <x:c r="N61" s="13" t="str">
        <x:v>job_id、subject_id、variant_id、asset_id 均为UUID；创建请求另带 idempotency_key；记录 settings/skill/model 版本</x:v>
      </x:c>
      <x:c r="O61" s="13" t="str">
        <x:v>job: queued/processing/completed/partial/failed；variant: queued/processing/completed/failed</x:v>
      </x:c>
      <x:c r="P61" s="13" t="str">
        <x:v>1–20主体、每主体3方案、余额不足、内容拦截、模型超时、部分成功、刷新恢复</x:v>
      </x:c>
      <x:c r="Q61" s="13" t="str">
        <x:v>仅本人查看任务与结果；Worker 使用服务端权限；平台API Key不下发前端</x:v>
      </x:c>
      <x:c r="R61" s="13" t="str">
        <x:v>创建+扣点同事务；每用户1个活动任务；队列重投跳过已完成variant；图片保留30天</x:v>
      </x:c>
    </x:row>
    <x:row r="62" ht="72" customHeight="1">
      <x:c r="A62" s="13" t="str">
        <x:v>第 1 期</x:v>
      </x:c>
      <x:c r="B62" s="13" t="str">
        <x:v>2. 图标设计与生成</x:v>
      </x:c>
      <x:c r="C62" s="13" t="str">
        <x:v>P1-BE-009</x:v>
      </x:c>
      <x:c r="D62" s="13" t="str">
        <x:v>生成 API / 创建 v2 任务</x:v>
      </x:c>
      <x:c r="E62" s="13" t="str">
        <x:v>P1-BE-009-04</x:v>
      </x:c>
      <x:c r="F62" s="13" t="str">
        <x:v>后端</x:v>
      </x:c>
      <x:c r="G62" s="13" t="str">
        <x:v>创建 v2 任务：1 活动任务限制</x:v>
      </x:c>
      <x:c r="H62" s="13" t="str">
        <x:v>创建 v2 任务：1 活动任务限制</x:v>
      </x:c>
      <x:c r="I62" s="13" t="str">
        <x:v>该条目可独立实现和验证；类型检查及对应测试通过；结果满足父任务验收标准。</x:v>
      </x:c>
      <x:c r="J62" s="13" t="str">
        <x:v>P1-BE-009-03</x:v>
      </x:c>
      <x:c r="K62" s="13" t="str">
        <x:v>待完成</x:v>
      </x:c>
      <x:c r="L62" s="13" t="str">
        <x:v>08-22～08-24</x:v>
      </x:c>
      <x:c r="M62" s="13" t="str">
        <x:v>—</x:v>
      </x:c>
      <x:c r="N62" s="13" t="str">
        <x:v>job_id、subject_id、variant_id、asset_id 均为UUID；创建请求另带 idempotency_key；记录 settings/skill/model 版本</x:v>
      </x:c>
      <x:c r="O62" s="13" t="str">
        <x:v>job: queued/processing/completed/partial/failed；variant: queued/processing/completed/failed</x:v>
      </x:c>
      <x:c r="P62" s="13" t="str">
        <x:v>1–20主体、每主体3方案、余额不足、内容拦截、模型超时、部分成功、刷新恢复</x:v>
      </x:c>
      <x:c r="Q62" s="13" t="str">
        <x:v>仅本人查看任务与结果；Worker 使用服务端权限；平台API Key不下发前端</x:v>
      </x:c>
      <x:c r="R62" s="13" t="str">
        <x:v>创建+扣点同事务；每用户1个活动任务；队列重投跳过已完成variant；图片保留30天</x:v>
      </x:c>
    </x:row>
    <x:row r="63" ht="72" customHeight="1">
      <x:c r="A63" s="13" t="str">
        <x:v>第 1 期</x:v>
      </x:c>
      <x:c r="B63" s="13" t="str">
        <x:v>2. 图标设计与生成</x:v>
      </x:c>
      <x:c r="C63" s="13" t="str">
        <x:v>P1-BE-009</x:v>
      </x:c>
      <x:c r="D63" s="13" t="str">
        <x:v>生成 API / 创建 v2 任务</x:v>
      </x:c>
      <x:c r="E63" s="13" t="str">
        <x:v>P1-BE-009-05</x:v>
      </x:c>
      <x:c r="F63" s="13" t="str">
        <x:v>后端</x:v>
      </x:c>
      <x:c r="G63" s="13" t="str">
        <x:v>创建 v2 任务：扣点事务</x:v>
      </x:c>
      <x:c r="H63" s="13" t="str">
        <x:v>创建 v2 任务：扣点事务</x:v>
      </x:c>
      <x:c r="I63" s="13" t="str">
        <x:v>重复与并发请求不重复创建、扣点或入账；任一步失败可回滚并可安全重试。</x:v>
      </x:c>
      <x:c r="J63" s="13" t="str">
        <x:v>P1-BE-009-04</x:v>
      </x:c>
      <x:c r="K63" s="13" t="str">
        <x:v>待完成</x:v>
      </x:c>
      <x:c r="L63" s="13" t="str">
        <x:v>08-22～08-24</x:v>
      </x:c>
      <x:c r="M63" s="13" t="str">
        <x:v>—</x:v>
      </x:c>
      <x:c r="N63" s="13" t="str">
        <x:v>job_id、subject_id、variant_id、asset_id 均为UUID；创建请求另带 idempotency_key；记录 settings/skill/model 版本</x:v>
      </x:c>
      <x:c r="O63" s="13" t="str">
        <x:v>job: queued/processing/completed/partial/failed；variant: queued/processing/completed/failed</x:v>
      </x:c>
      <x:c r="P63" s="13" t="str">
        <x:v>1–20主体、每主体3方案、余额不足、内容拦截、模型超时、部分成功、刷新恢复</x:v>
      </x:c>
      <x:c r="Q63" s="13" t="str">
        <x:v>仅本人查看任务与结果；Worker 使用服务端权限；平台API Key不下发前端</x:v>
      </x:c>
      <x:c r="R63" s="13" t="str">
        <x:v>创建+扣点同事务；每用户1个活动任务；队列重投跳过已完成variant；图片保留30天</x:v>
      </x:c>
    </x:row>
    <x:row r="64" ht="72" customHeight="1">
      <x:c r="A64" s="13" t="str">
        <x:v>第 1 期</x:v>
      </x:c>
      <x:c r="B64" s="13" t="str">
        <x:v>2. 图标设计与生成</x:v>
      </x:c>
      <x:c r="C64" s="13" t="str">
        <x:v>P1-BE-009</x:v>
      </x:c>
      <x:c r="D64" s="13" t="str">
        <x:v>生成 API / 创建 v2 任务</x:v>
      </x:c>
      <x:c r="E64" s="13" t="str">
        <x:v>P1-BE-009-06</x:v>
      </x:c>
      <x:c r="F64" s="13" t="str">
        <x:v>后端</x:v>
      </x:c>
      <x:c r="G64" s="13" t="str">
        <x:v>创建 v2 任务：SQS v2 消息</x:v>
      </x:c>
      <x:c r="H64" s="13" t="str">
        <x:v>创建 v2 任务：SQS v2 消息</x:v>
      </x:c>
      <x:c r="I64" s="13" t="str">
        <x:v>测试与生产配置隔离；部署可重复；健康检查、告警和回滚步骤验证通过。</x:v>
      </x:c>
      <x:c r="J64" s="13" t="str">
        <x:v>P1-BE-009-05</x:v>
      </x:c>
      <x:c r="K64" s="13" t="str">
        <x:v>待完成</x:v>
      </x:c>
      <x:c r="L64" s="13" t="str">
        <x:v>08-22～08-24</x:v>
      </x:c>
      <x:c r="M64" s="13" t="str">
        <x:v>—</x:v>
      </x:c>
      <x:c r="N64" s="13" t="str">
        <x:v>job_id、subject_id、variant_id、asset_id 均为UUID；创建请求另带 idempotency_key；记录 settings/skill/model 版本</x:v>
      </x:c>
      <x:c r="O64" s="13" t="str">
        <x:v>job: queued/processing/completed/partial/failed；variant: queued/processing/completed/failed</x:v>
      </x:c>
      <x:c r="P64" s="13" t="str">
        <x:v>1–20主体、每主体3方案、余额不足、内容拦截、模型超时、部分成功、刷新恢复</x:v>
      </x:c>
      <x:c r="Q64" s="13" t="str">
        <x:v>仅本人查看任务与结果；Worker 使用服务端权限；平台API Key不下发前端</x:v>
      </x:c>
      <x:c r="R64" s="13" t="str">
        <x:v>创建+扣点同事务；每用户1个活动任务；队列重投跳过已完成variant；图片保留30天</x:v>
      </x:c>
    </x:row>
    <x:row r="65" ht="72" customHeight="1">
      <x:c r="A65" s="13" t="str">
        <x:v>第 1 期</x:v>
      </x:c>
      <x:c r="B65" s="13" t="str">
        <x:v>2. 图标设计与生成</x:v>
      </x:c>
      <x:c r="C65" s="13" t="str">
        <x:v>P1-BE-010</x:v>
      </x:c>
      <x:c r="D65" s="13" t="str">
        <x:v>Worker / 改造多主体×3 Worker</x:v>
      </x:c>
      <x:c r="E65" s="13" t="str">
        <x:v>P1-BE-010-01</x:v>
      </x:c>
      <x:c r="F65" s="13" t="str">
        <x:v>后端</x:v>
      </x:c>
      <x:c r="G65" s="13" t="str">
        <x:v>读取 subjects</x:v>
      </x:c>
      <x:c r="H65" s="13" t="str">
        <x:v>读取 subjects</x:v>
      </x:c>
      <x:c r="I65" s="13" t="str">
        <x:v>该条目可独立实现和验证；类型检查及对应测试通过；结果满足父任务验收标准。</x:v>
      </x:c>
      <x:c r="J65" s="13" t="str">
        <x:v>P1-BE-009</x:v>
      </x:c>
      <x:c r="K65" s="13" t="str">
        <x:v>已完成</x:v>
      </x:c>
      <x:c r="L65" s="13" t="str">
        <x:v>08-23～08-25</x:v>
      </x:c>
      <x:c r="M65" s="13" t="str">
        <x:v>2026-08-20</x:v>
      </x:c>
      <x:c r="N65" s="13" t="str">
        <x:v>job_id、subject_id、variant_id、asset_id 均为UUID；创建请求另带 idempotency_key；记录 settings/skill/model 版本</x:v>
      </x:c>
      <x:c r="O65" s="13" t="str">
        <x:v>job: queued/processing/completed/partial/failed；variant: queued/processing/completed/failed</x:v>
      </x:c>
      <x:c r="P65" s="13" t="str">
        <x:v>1–20主体、每主体3方案、余额不足、内容拦截、模型超时、部分成功、刷新恢复</x:v>
      </x:c>
      <x:c r="Q65" s="13" t="str">
        <x:v>仅本人查看任务与结果；Worker 使用服务端权限；平台API Key不下发前端</x:v>
      </x:c>
      <x:c r="R65" s="13" t="str">
        <x:v>创建+扣点同事务；每用户1个活动任务；队列重投跳过已完成variant；图片保留30天</x:v>
      </x:c>
    </x:row>
    <x:row r="66" ht="72" customHeight="1">
      <x:c r="A66" s="13" t="str">
        <x:v>第 1 期</x:v>
      </x:c>
      <x:c r="B66" s="13" t="str">
        <x:v>2. 图标设计与生成</x:v>
      </x:c>
      <x:c r="C66" s="13" t="str">
        <x:v>P1-BE-010</x:v>
      </x:c>
      <x:c r="D66" s="13" t="str">
        <x:v>Worker / 改造多主体×3 Worker</x:v>
      </x:c>
      <x:c r="E66" s="13" t="str">
        <x:v>P1-BE-010-02</x:v>
      </x:c>
      <x:c r="F66" s="13" t="str">
        <x:v>后端</x:v>
      </x:c>
      <x:c r="G66" s="13" t="str">
        <x:v>处理 3 variant</x:v>
      </x:c>
      <x:c r="H66" s="13" t="str">
        <x:v>处理 3 variant</x:v>
      </x:c>
      <x:c r="I66" s="13" t="str">
        <x:v>该条目可独立实现和验证；类型检查及对应测试通过；结果满足父任务验收标准。</x:v>
      </x:c>
      <x:c r="J66" s="13" t="str">
        <x:v>P1-BE-010-01</x:v>
      </x:c>
      <x:c r="K66" s="13" t="str">
        <x:v>已完成</x:v>
      </x:c>
      <x:c r="L66" s="13" t="str">
        <x:v>08-23～08-25</x:v>
      </x:c>
      <x:c r="M66" s="13" t="str">
        <x:v>2026-08-20</x:v>
      </x:c>
      <x:c r="N66" s="13" t="str">
        <x:v>job_id、subject_id、variant_id、asset_id 均为UUID；创建请求另带 idempotency_key；记录 settings/skill/model 版本</x:v>
      </x:c>
      <x:c r="O66" s="13" t="str">
        <x:v>job: queued/processing/completed/partial/failed；variant: queued/processing/completed/failed</x:v>
      </x:c>
      <x:c r="P66" s="13" t="str">
        <x:v>1–20主体、每主体3方案、余额不足、内容拦截、模型超时、部分成功、刷新恢复</x:v>
      </x:c>
      <x:c r="Q66" s="13" t="str">
        <x:v>仅本人查看任务与结果；Worker 使用服务端权限；平台API Key不下发前端</x:v>
      </x:c>
      <x:c r="R66" s="13" t="str">
        <x:v>创建+扣点同事务；每用户1个活动任务；队列重投跳过已完成variant；图片保留30天</x:v>
      </x:c>
    </x:row>
    <x:row r="67" ht="72" customHeight="1">
      <x:c r="A67" s="13" t="str">
        <x:v>第 1 期</x:v>
      </x:c>
      <x:c r="B67" s="13" t="str">
        <x:v>2. 图标设计与生成</x:v>
      </x:c>
      <x:c r="C67" s="13" t="str">
        <x:v>P1-BE-010</x:v>
      </x:c>
      <x:c r="D67" s="13" t="str">
        <x:v>Worker / 改造多主体×3 Worker</x:v>
      </x:c>
      <x:c r="E67" s="13" t="str">
        <x:v>P1-BE-010-03</x:v>
      </x:c>
      <x:c r="F67" s="13" t="str">
        <x:v>后端</x:v>
      </x:c>
      <x:c r="G67" s="13" t="str">
        <x:v>跳过已成功单元</x:v>
      </x:c>
      <x:c r="H67" s="13" t="str">
        <x:v>跳过已成功单元</x:v>
      </x:c>
      <x:c r="I67" s="13" t="str">
        <x:v>该条目可独立实现和验证；类型检查及对应测试通过；结果满足父任务验收标准。</x:v>
      </x:c>
      <x:c r="J67" s="13" t="str">
        <x:v>P1-BE-010-02</x:v>
      </x:c>
      <x:c r="K67" s="13" t="str">
        <x:v>已完成</x:v>
      </x:c>
      <x:c r="L67" s="13" t="str">
        <x:v>08-23～08-25</x:v>
      </x:c>
      <x:c r="M67" s="13" t="str">
        <x:v>2026-08-20</x:v>
      </x:c>
      <x:c r="N67" s="13" t="str">
        <x:v>job_id、subject_id、variant_id、asset_id 均为UUID；创建请求另带 idempotency_key；记录 settings/skill/model 版本</x:v>
      </x:c>
      <x:c r="O67" s="13" t="str">
        <x:v>job: queued/processing/completed/partial/failed；variant: queued/processing/completed/failed</x:v>
      </x:c>
      <x:c r="P67" s="13" t="str">
        <x:v>1–20主体、每主体3方案、余额不足、内容拦截、模型超时、部分成功、刷新恢复</x:v>
      </x:c>
      <x:c r="Q67" s="13" t="str">
        <x:v>仅本人查看任务与结果；Worker 使用服务端权限；平台API Key不下发前端</x:v>
      </x:c>
      <x:c r="R67" s="13" t="str">
        <x:v>创建+扣点同事务；每用户1个活动任务；队列重投跳过已完成variant；图片保留30天</x:v>
      </x:c>
    </x:row>
    <x:row r="68" ht="72" customHeight="1">
      <x:c r="A68" s="13" t="str">
        <x:v>第 1 期</x:v>
      </x:c>
      <x:c r="B68" s="13" t="str">
        <x:v>2. 图标设计与生成</x:v>
      </x:c>
      <x:c r="C68" s="13" t="str">
        <x:v>P1-BE-010</x:v>
      </x:c>
      <x:c r="D68" s="13" t="str">
        <x:v>Worker / 改造多主体×3 Worker</x:v>
      </x:c>
      <x:c r="E68" s="13" t="str">
        <x:v>P1-BE-010-04</x:v>
      </x:c>
      <x:c r="F68" s="13" t="str">
        <x:v>后端</x:v>
      </x:c>
      <x:c r="G68" s="13" t="str">
        <x:v>幂等保存</x:v>
      </x:c>
      <x:c r="H68" s="13" t="str">
        <x:v>幂等保存</x:v>
      </x:c>
      <x:c r="I68" s="13" t="str">
        <x:v>重复与并发请求不重复创建、扣点或入账；任一步失败可回滚并可安全重试。</x:v>
      </x:c>
      <x:c r="J68" s="13" t="str">
        <x:v>P1-BE-010-03</x:v>
      </x:c>
      <x:c r="K68" s="13" t="str">
        <x:v>已完成</x:v>
      </x:c>
      <x:c r="L68" s="13" t="str">
        <x:v>08-23～08-25</x:v>
      </x:c>
      <x:c r="M68" s="13" t="str">
        <x:v>2026-08-20</x:v>
      </x:c>
      <x:c r="N68" s="13" t="str">
        <x:v>job_id、subject_id、variant_id、asset_id 均为UUID；创建请求另带 idempotency_key；记录 settings/skill/model 版本</x:v>
      </x:c>
      <x:c r="O68" s="13" t="str">
        <x:v>job: queued/processing/completed/partial/failed；variant: queued/processing/completed/failed</x:v>
      </x:c>
      <x:c r="P68" s="13" t="str">
        <x:v>1–20主体、每主体3方案、余额不足、内容拦截、模型超时、部分成功、刷新恢复</x:v>
      </x:c>
      <x:c r="Q68" s="13" t="str">
        <x:v>仅本人查看任务与结果；Worker 使用服务端权限；平台API Key不下发前端</x:v>
      </x:c>
      <x:c r="R68" s="13" t="str">
        <x:v>创建+扣点同事务；每用户1个活动任务；队列重投跳过已完成variant；图片保留30天</x:v>
      </x:c>
    </x:row>
    <x:row r="69" ht="72" customHeight="1">
      <x:c r="A69" s="13" t="str">
        <x:v>第 1 期</x:v>
      </x:c>
      <x:c r="B69" s="13" t="str">
        <x:v>6. 平台、工程与上线</x:v>
      </x:c>
      <x:c r="C69" s="13" t="str">
        <x:v>P1-BE-011</x:v>
      </x:c>
      <x:c r="D69" s="13" t="str">
        <x:v>Icon Skill / 改造 UI 图标 Skill</x:v>
      </x:c>
      <x:c r="E69" s="13" t="str">
        <x:v>P1-BE-011-01</x:v>
      </x:c>
      <x:c r="F69" s="13" t="str">
        <x:v>后端</x:v>
      </x:c>
      <x:c r="G69" s="13" t="str">
        <x:v>移除 App Icon/4 方向</x:v>
      </x:c>
      <x:c r="H69" s="13" t="str">
        <x:v>移除 App Icon/4 方向</x:v>
      </x:c>
      <x:c r="I69" s="13" t="str">
        <x:v>该条目可独立实现和验证；类型检查及对应测试通过；结果满足父任务验收标准。</x:v>
      </x:c>
      <x:c r="J69" s="13" t="str">
        <x:v>—</x:v>
      </x:c>
      <x:c r="K69" s="13" t="str">
        <x:v>已完成</x:v>
      </x:c>
      <x:c r="L69" s="13" t="str">
        <x:v>08-23～08-25</x:v>
      </x:c>
      <x:c r="M69" s="13" t="str">
        <x:v>2026-08-20</x:v>
      </x:c>
      <x:c r="N69" s="13" t="str">
        <x:v>配置版本、Skill版本、模型名、部署版本、provider request ID和环境标识</x:v>
      </x:c>
      <x:c r="O69" s="13" t="str">
        <x:v>部署/服务 health状态；配置启用/停用；队列消息 queued/processing/DLQ</x:v>
      </x:c>
      <x:c r="P69" s="13" t="str">
        <x:v>配置缺失、密钥无效、限流、部署失败、队列积压、定时任务重复执行</x:v>
      </x:c>
      <x:c r="Q69" s="13" t="str">
        <x:v>环境与密钥隔离；最小权限；生产操作留审计；日志脱敏</x:v>
      </x:c>
      <x:c r="R69" s="13" t="str">
        <x:v>部署可回滚；Worker/清理任务可重入；密钥不入库不导出；日志按合规期限保留</x:v>
      </x:c>
    </x:row>
    <x:row r="70" ht="72" customHeight="1">
      <x:c r="A70" s="13" t="str">
        <x:v>第 1 期</x:v>
      </x:c>
      <x:c r="B70" s="13" t="str">
        <x:v>6. 平台、工程与上线</x:v>
      </x:c>
      <x:c r="C70" s="13" t="str">
        <x:v>P1-BE-011</x:v>
      </x:c>
      <x:c r="D70" s="13" t="str">
        <x:v>Icon Skill / 改造 UI 图标 Skill</x:v>
      </x:c>
      <x:c r="E70" s="13" t="str">
        <x:v>P1-BE-011-02</x:v>
      </x:c>
      <x:c r="F70" s="13" t="str">
        <x:v>后端</x:v>
      </x:c>
      <x:c r="G70" s="13" t="str">
        <x:v>接收 25 项</x:v>
      </x:c>
      <x:c r="H70" s="13" t="str">
        <x:v>接收 25 项</x:v>
      </x:c>
      <x:c r="I70" s="13" t="str">
        <x:v>该条目可独立实现和验证；类型检查及对应测试通过；结果满足父任务验收标准。</x:v>
      </x:c>
      <x:c r="J70" s="13" t="str">
        <x:v>P1-BE-011-01</x:v>
      </x:c>
      <x:c r="K70" s="13" t="str">
        <x:v>已完成</x:v>
      </x:c>
      <x:c r="L70" s="13" t="str">
        <x:v>08-23～08-25</x:v>
      </x:c>
      <x:c r="M70" s="13" t="str">
        <x:v>2026-08-20</x:v>
      </x:c>
      <x:c r="N70" s="13" t="str">
        <x:v>配置版本、Skill版本、模型名、部署版本、provider request ID和环境标识</x:v>
      </x:c>
      <x:c r="O70" s="13" t="str">
        <x:v>部署/服务 health状态；配置启用/停用；队列消息 queued/processing/DLQ</x:v>
      </x:c>
      <x:c r="P70" s="13" t="str">
        <x:v>配置缺失、密钥无效、限流、部署失败、队列积压、定时任务重复执行</x:v>
      </x:c>
      <x:c r="Q70" s="13" t="str">
        <x:v>环境与密钥隔离；最小权限；生产操作留审计；日志脱敏</x:v>
      </x:c>
      <x:c r="R70" s="13" t="str">
        <x:v>部署可回滚；Worker/清理任务可重入；密钥不入库不导出；日志按合规期限保留</x:v>
      </x:c>
    </x:row>
    <x:row r="71" ht="72" customHeight="1">
      <x:c r="A71" s="13" t="str">
        <x:v>第 1 期</x:v>
      </x:c>
      <x:c r="B71" s="13" t="str">
        <x:v>6. 平台、工程与上线</x:v>
      </x:c>
      <x:c r="C71" s="13" t="str">
        <x:v>P1-BE-011</x:v>
      </x:c>
      <x:c r="D71" s="13" t="str">
        <x:v>Icon Skill / 改造 UI 图标 Skill</x:v>
      </x:c>
      <x:c r="E71" s="13" t="str">
        <x:v>P1-BE-011-03</x:v>
      </x:c>
      <x:c r="F71" s="13" t="str">
        <x:v>后端</x:v>
      </x:c>
      <x:c r="G71" s="13" t="str">
        <x:v>3 方案仅改变隐喻/构图并锁定批次一致性</x:v>
      </x:c>
      <x:c r="H71" s="13" t="str">
        <x:v>3 方案仅改变隐喻/构图并锁定批次一致性</x:v>
      </x:c>
      <x:c r="I71" s="13" t="str">
        <x:v>该条目可独立实现和验证；类型检查及对应测试通过；结果满足父任务验收标准。</x:v>
      </x:c>
      <x:c r="J71" s="13" t="str">
        <x:v>P1-BE-011-02</x:v>
      </x:c>
      <x:c r="K71" s="13" t="str">
        <x:v>已完成</x:v>
      </x:c>
      <x:c r="L71" s="13" t="str">
        <x:v>08-23～08-25</x:v>
      </x:c>
      <x:c r="M71" s="13" t="str">
        <x:v>2026-08-20</x:v>
      </x:c>
      <x:c r="N71" s="13" t="str">
        <x:v>配置版本、Skill版本、模型名、部署版本、provider request ID和环境标识</x:v>
      </x:c>
      <x:c r="O71" s="13" t="str">
        <x:v>部署/服务 health状态；配置启用/停用；队列消息 queued/processing/DLQ</x:v>
      </x:c>
      <x:c r="P71" s="13" t="str">
        <x:v>配置缺失、密钥无效、限流、部署失败、队列积压、定时任务重复执行</x:v>
      </x:c>
      <x:c r="Q71" s="13" t="str">
        <x:v>环境与密钥隔离；最小权限；生产操作留审计；日志脱敏</x:v>
      </x:c>
      <x:c r="R71" s="13" t="str">
        <x:v>部署可回滚；Worker/清理任务可重入；密钥不入库不导出；日志按合规期限保留</x:v>
      </x:c>
    </x:row>
    <x:row r="72" ht="72" customHeight="1">
      <x:c r="A72" s="13" t="str">
        <x:v>第 1 期</x:v>
      </x:c>
      <x:c r="B72" s="13" t="str">
        <x:v>2. 图标设计与生成</x:v>
      </x:c>
      <x:c r="C72" s="13" t="str">
        <x:v>P1-BE-012</x:v>
      </x:c>
      <x:c r="D72" s="13" t="str">
        <x:v>进度 / 实现真实任务进度</x:v>
      </x:c>
      <x:c r="E72" s="13" t="str">
        <x:v>P1-BE-012-01</x:v>
      </x:c>
      <x:c r="F72" s="13" t="str">
        <x:v>后端</x:v>
      </x:c>
      <x:c r="G72" s="13" t="str">
        <x:v>queued/compiling/generating/processing/saving</x:v>
      </x:c>
      <x:c r="H72" s="13" t="str">
        <x:v>queued/compiling/generating/processing/saving</x:v>
      </x:c>
      <x:c r="I72" s="13" t="str">
        <x:v>该条目可独立实现和验证；类型检查及对应测试通过；结果满足父任务验收标准。</x:v>
      </x:c>
      <x:c r="J72" s="13" t="str">
        <x:v>P1-BE-010</x:v>
      </x:c>
      <x:c r="K72" s="13" t="str">
        <x:v>待完成</x:v>
      </x:c>
      <x:c r="L72" s="13" t="str">
        <x:v>08-25～08-26</x:v>
      </x:c>
      <x:c r="M72" s="13" t="str">
        <x:v>—</x:v>
      </x:c>
      <x:c r="N72" s="13" t="str">
        <x:v>job_id、subject_id、variant_id、asset_id 均为UUID；创建请求另带 idempotency_key；记录 settings/skill/model 版本</x:v>
      </x:c>
      <x:c r="O72" s="13" t="str">
        <x:v>job: queued/processing/completed/partial/failed；variant: queued/processing/completed/failed</x:v>
      </x:c>
      <x:c r="P72" s="13" t="str">
        <x:v>1–20主体、每主体3方案、余额不足、内容拦截、模型超时、部分成功、刷新恢复</x:v>
      </x:c>
      <x:c r="Q72" s="13" t="str">
        <x:v>仅本人查看任务与结果；Worker 使用服务端权限；平台API Key不下发前端</x:v>
      </x:c>
      <x:c r="R72" s="13" t="str">
        <x:v>创建+扣点同事务；每用户1个活动任务；队列重投跳过已完成variant；图片保留30天</x:v>
      </x:c>
    </x:row>
    <x:row r="73" ht="72" customHeight="1">
      <x:c r="A73" s="13" t="str">
        <x:v>第 1 期</x:v>
      </x:c>
      <x:c r="B73" s="13" t="str">
        <x:v>2. 图标设计与生成</x:v>
      </x:c>
      <x:c r="C73" s="13" t="str">
        <x:v>P1-BE-012</x:v>
      </x:c>
      <x:c r="D73" s="13" t="str">
        <x:v>进度 / 实现真实任务进度</x:v>
      </x:c>
      <x:c r="E73" s="13" t="str">
        <x:v>P1-BE-012-02</x:v>
      </x:c>
      <x:c r="F73" s="13" t="str">
        <x:v>后端</x:v>
      </x:c>
      <x:c r="G73" s="13" t="str">
        <x:v>0–100</x:v>
      </x:c>
      <x:c r="H73" s="13" t="str">
        <x:v>0–100</x:v>
      </x:c>
      <x:c r="I73" s="13" t="str">
        <x:v>该条目可独立实现和验证；类型检查及对应测试通过；结果满足父任务验收标准。</x:v>
      </x:c>
      <x:c r="J73" s="13" t="str">
        <x:v>P1-BE-012-01</x:v>
      </x:c>
      <x:c r="K73" s="13" t="str">
        <x:v>待完成</x:v>
      </x:c>
      <x:c r="L73" s="13" t="str">
        <x:v>08-25～08-26</x:v>
      </x:c>
      <x:c r="M73" s="13" t="str">
        <x:v>—</x:v>
      </x:c>
      <x:c r="N73" s="13" t="str">
        <x:v>job_id、subject_id、variant_id、asset_id 均为UUID；创建请求另带 idempotency_key；记录 settings/skill/model 版本</x:v>
      </x:c>
      <x:c r="O73" s="13" t="str">
        <x:v>job: queued/processing/completed/partial/failed；variant: queued/processing/completed/failed</x:v>
      </x:c>
      <x:c r="P73" s="13" t="str">
        <x:v>1–20主体、每主体3方案、余额不足、内容拦截、模型超时、部分成功、刷新恢复</x:v>
      </x:c>
      <x:c r="Q73" s="13" t="str">
        <x:v>仅本人查看任务与结果；Worker 使用服务端权限；平台API Key不下发前端</x:v>
      </x:c>
      <x:c r="R73" s="13" t="str">
        <x:v>创建+扣点同事务；每用户1个活动任务；队列重投跳过已完成variant；图片保留30天</x:v>
      </x:c>
    </x:row>
    <x:row r="74" ht="72" customHeight="1">
      <x:c r="A74" s="13" t="str">
        <x:v>第 1 期</x:v>
      </x:c>
      <x:c r="B74" s="13" t="str">
        <x:v>2. 图标设计与生成</x:v>
      </x:c>
      <x:c r="C74" s="13" t="str">
        <x:v>P1-BE-012</x:v>
      </x:c>
      <x:c r="D74" s="13" t="str">
        <x:v>进度 / 实现真实任务进度</x:v>
      </x:c>
      <x:c r="E74" s="13" t="str">
        <x:v>P1-BE-012-03</x:v>
      </x:c>
      <x:c r="F74" s="13" t="str">
        <x:v>后端</x:v>
      </x:c>
      <x:c r="G74" s="13" t="str">
        <x:v>完成主体数</x:v>
      </x:c>
      <x:c r="H74" s="13" t="str">
        <x:v>完成主体数</x:v>
      </x:c>
      <x:c r="I74" s="13" t="str">
        <x:v>该条目可独立实现和验证；类型检查及对应测试通过；结果满足父任务验收标准。</x:v>
      </x:c>
      <x:c r="J74" s="13" t="str">
        <x:v>P1-BE-012-02</x:v>
      </x:c>
      <x:c r="K74" s="13" t="str">
        <x:v>待完成</x:v>
      </x:c>
      <x:c r="L74" s="13" t="str">
        <x:v>08-25～08-26</x:v>
      </x:c>
      <x:c r="M74" s="13" t="str">
        <x:v>—</x:v>
      </x:c>
      <x:c r="N74" s="13" t="str">
        <x:v>job_id、subject_id、variant_id、asset_id 均为UUID；创建请求另带 idempotency_key；记录 settings/skill/model 版本</x:v>
      </x:c>
      <x:c r="O74" s="13" t="str">
        <x:v>job: queued/processing/completed/partial/failed；variant: queued/processing/completed/failed</x:v>
      </x:c>
      <x:c r="P74" s="13" t="str">
        <x:v>1–20主体、每主体3方案、余额不足、内容拦截、模型超时、部分成功、刷新恢复</x:v>
      </x:c>
      <x:c r="Q74" s="13" t="str">
        <x:v>仅本人查看任务与结果；Worker 使用服务端权限；平台API Key不下发前端</x:v>
      </x:c>
      <x:c r="R74" s="13" t="str">
        <x:v>创建+扣点同事务；每用户1个活动任务；队列重投跳过已完成variant；图片保留30天</x:v>
      </x:c>
    </x:row>
    <x:row r="75" ht="72" customHeight="1">
      <x:c r="A75" s="13" t="str">
        <x:v>第 1 期</x:v>
      </x:c>
      <x:c r="B75" s="13" t="str">
        <x:v>2. 图标设计与生成</x:v>
      </x:c>
      <x:c r="C75" s="13" t="str">
        <x:v>P1-BE-013</x:v>
      </x:c>
      <x:c r="D75" s="13" t="str">
        <x:v>查询 API / 实现任务详情查询</x:v>
      </x:c>
      <x:c r="E75" s="13" t="str">
        <x:v>P1-BE-013-01</x:v>
      </x:c>
      <x:c r="F75" s="13" t="str">
        <x:v>后端</x:v>
      </x:c>
      <x:c r="G75" s="13" t="str">
        <x:v>所有权校验</x:v>
      </x:c>
      <x:c r="H75" s="13" t="str">
        <x:v>所有权校验</x:v>
      </x:c>
      <x:c r="I75" s="13" t="str">
        <x:v>允许与拒绝场景均有自动化测试；敏感信息不进入浏览器、日志或导出文件。</x:v>
      </x:c>
      <x:c r="J75" s="13" t="str">
        <x:v>—</x:v>
      </x:c>
      <x:c r="K75" s="13" t="str">
        <x:v>待完成</x:v>
      </x:c>
      <x:c r="L75" s="13" t="str">
        <x:v>08-25～08-26</x:v>
      </x:c>
      <x:c r="M75" s="13" t="str">
        <x:v>—</x:v>
      </x:c>
      <x:c r="N75" s="13" t="str">
        <x:v>job_id、subject_id、variant_id、asset_id 均为UUID；创建请求另带 idempotency_key；记录 settings/skill/model 版本</x:v>
      </x:c>
      <x:c r="O75" s="13" t="str">
        <x:v>job: queued/processing/completed/partial/failed；variant: queued/processing/completed/failed</x:v>
      </x:c>
      <x:c r="P75" s="13" t="str">
        <x:v>1–20主体、每主体3方案、余额不足、内容拦截、模型超时、部分成功、刷新恢复</x:v>
      </x:c>
      <x:c r="Q75" s="13" t="str">
        <x:v>仅本人查看任务与结果；Worker 使用服务端权限；平台API Key不下发前端</x:v>
      </x:c>
      <x:c r="R75" s="13" t="str">
        <x:v>创建+扣点同事务；每用户1个活动任务；队列重投跳过已完成variant；图片保留30天</x:v>
      </x:c>
    </x:row>
    <x:row r="76" ht="72" customHeight="1">
      <x:c r="A76" s="13" t="str">
        <x:v>第 1 期</x:v>
      </x:c>
      <x:c r="B76" s="13" t="str">
        <x:v>2. 图标设计与生成</x:v>
      </x:c>
      <x:c r="C76" s="13" t="str">
        <x:v>P1-BE-013</x:v>
      </x:c>
      <x:c r="D76" s="13" t="str">
        <x:v>查询 API / 实现任务详情查询</x:v>
      </x:c>
      <x:c r="E76" s="13" t="str">
        <x:v>P1-BE-013-02</x:v>
      </x:c>
      <x:c r="F76" s="13" t="str">
        <x:v>后端</x:v>
      </x:c>
      <x:c r="G76" s="13" t="str">
        <x:v>subjects 顺序</x:v>
      </x:c>
      <x:c r="H76" s="13" t="str">
        <x:v>subjects 顺序</x:v>
      </x:c>
      <x:c r="I76" s="13" t="str">
        <x:v>该条目可独立实现和验证；类型检查及对应测试通过；结果满足父任务验收标准。</x:v>
      </x:c>
      <x:c r="J76" s="13" t="str">
        <x:v>P1-BE-013-01</x:v>
      </x:c>
      <x:c r="K76" s="13" t="str">
        <x:v>待完成</x:v>
      </x:c>
      <x:c r="L76" s="13" t="str">
        <x:v>08-25～08-26</x:v>
      </x:c>
      <x:c r="M76" s="13" t="str">
        <x:v>—</x:v>
      </x:c>
      <x:c r="N76" s="13" t="str">
        <x:v>job_id、subject_id、variant_id、asset_id 均为UUID；创建请求另带 idempotency_key；记录 settings/skill/model 版本</x:v>
      </x:c>
      <x:c r="O76" s="13" t="str">
        <x:v>job: queued/processing/completed/partial/failed；variant: queued/processing/completed/failed</x:v>
      </x:c>
      <x:c r="P76" s="13" t="str">
        <x:v>1–20主体、每主体3方案、余额不足、内容拦截、模型超时、部分成功、刷新恢复</x:v>
      </x:c>
      <x:c r="Q76" s="13" t="str">
        <x:v>仅本人查看任务与结果；Worker 使用服务端权限；平台API Key不下发前端</x:v>
      </x:c>
      <x:c r="R76" s="13" t="str">
        <x:v>创建+扣点同事务；每用户1个活动任务；队列重投跳过已完成variant；图片保留30天</x:v>
      </x:c>
    </x:row>
    <x:row r="77" ht="72" customHeight="1">
      <x:c r="A77" s="13" t="str">
        <x:v>第 1 期</x:v>
      </x:c>
      <x:c r="B77" s="13" t="str">
        <x:v>2. 图标设计与生成</x:v>
      </x:c>
      <x:c r="C77" s="13" t="str">
        <x:v>P1-BE-013</x:v>
      </x:c>
      <x:c r="D77" s="13" t="str">
        <x:v>查询 API / 实现任务详情查询</x:v>
      </x:c>
      <x:c r="E77" s="13" t="str">
        <x:v>P1-BE-013-03</x:v>
      </x:c>
      <x:c r="F77" s="13" t="str">
        <x:v>后端</x:v>
      </x:c>
      <x:c r="G77" s="13" t="str">
        <x:v>每主体 3 槽位</x:v>
      </x:c>
      <x:c r="H77" s="13" t="str">
        <x:v>每主体 3 槽位</x:v>
      </x:c>
      <x:c r="I77" s="13" t="str">
        <x:v>该条目可独立实现和验证；类型检查及对应测试通过；结果满足父任务验收标准。</x:v>
      </x:c>
      <x:c r="J77" s="13" t="str">
        <x:v>P1-BE-013-02</x:v>
      </x:c>
      <x:c r="K77" s="13" t="str">
        <x:v>待完成</x:v>
      </x:c>
      <x:c r="L77" s="13" t="str">
        <x:v>08-25～08-26</x:v>
      </x:c>
      <x:c r="M77" s="13" t="str">
        <x:v>—</x:v>
      </x:c>
      <x:c r="N77" s="13" t="str">
        <x:v>job_id、subject_id、variant_id、asset_id 均为UUID；创建请求另带 idempotency_key；记录 settings/skill/model 版本</x:v>
      </x:c>
      <x:c r="O77" s="13" t="str">
        <x:v>job: queued/processing/completed/partial/failed；variant: queued/processing/completed/failed</x:v>
      </x:c>
      <x:c r="P77" s="13" t="str">
        <x:v>1–20主体、每主体3方案、余额不足、内容拦截、模型超时、部分成功、刷新恢复</x:v>
      </x:c>
      <x:c r="Q77" s="13" t="str">
        <x:v>仅本人查看任务与结果；Worker 使用服务端权限；平台API Key不下发前端</x:v>
      </x:c>
      <x:c r="R77" s="13" t="str">
        <x:v>创建+扣点同事务；每用户1个活动任务；队列重投跳过已完成variant；图片保留30天</x:v>
      </x:c>
    </x:row>
    <x:row r="78" ht="72" customHeight="1">
      <x:c r="A78" s="13" t="str">
        <x:v>第 1 期</x:v>
      </x:c>
      <x:c r="B78" s="13" t="str">
        <x:v>2. 图标设计与生成</x:v>
      </x:c>
      <x:c r="C78" s="13" t="str">
        <x:v>P1-BE-013</x:v>
      </x:c>
      <x:c r="D78" s="13" t="str">
        <x:v>查询 API / 实现任务详情查询</x:v>
      </x:c>
      <x:c r="E78" s="13" t="str">
        <x:v>P1-BE-013-04</x:v>
      </x:c>
      <x:c r="F78" s="13" t="str">
        <x:v>后端</x:v>
      </x:c>
      <x:c r="G78" s="13" t="str">
        <x:v>进度和资金摘要</x:v>
      </x:c>
      <x:c r="H78" s="13" t="str">
        <x:v>进度和资金摘要</x:v>
      </x:c>
      <x:c r="I78" s="13" t="str">
        <x:v>该条目可独立实现和验证；类型检查及对应测试通过；结果满足父任务验收标准。</x:v>
      </x:c>
      <x:c r="J78" s="13" t="str">
        <x:v>P1-BE-013-03</x:v>
      </x:c>
      <x:c r="K78" s="13" t="str">
        <x:v>待完成</x:v>
      </x:c>
      <x:c r="L78" s="13" t="str">
        <x:v>08-25～08-26</x:v>
      </x:c>
      <x:c r="M78" s="13" t="str">
        <x:v>—</x:v>
      </x:c>
      <x:c r="N78" s="13" t="str">
        <x:v>job_id、subject_id、variant_id、asset_id 均为UUID；创建请求另带 idempotency_key；记录 settings/skill/model 版本</x:v>
      </x:c>
      <x:c r="O78" s="13" t="str">
        <x:v>job: queued/processing/completed/partial/failed；variant: queued/processing/completed/failed</x:v>
      </x:c>
      <x:c r="P78" s="13" t="str">
        <x:v>1–20主体、每主体3方案、余额不足、内容拦截、模型超时、部分成功、刷新恢复</x:v>
      </x:c>
      <x:c r="Q78" s="13" t="str">
        <x:v>仅本人查看任务与结果；Worker 使用服务端权限；平台API Key不下发前端</x:v>
      </x:c>
      <x:c r="R78" s="13" t="str">
        <x:v>创建+扣点同事务；每用户1个活动任务；队列重投跳过已完成variant；图片保留30天</x:v>
      </x:c>
    </x:row>
    <x:row r="79" ht="72" customHeight="1">
      <x:c r="A79" s="13" t="str">
        <x:v>第 1 期</x:v>
      </x:c>
      <x:c r="B79" s="13" t="str">
        <x:v>6. 平台、工程与上线</x:v>
      </x:c>
      <x:c r="C79" s="13" t="str">
        <x:v>P1-QA-001</x:v>
      </x:c>
      <x:c r="D79" s="13" t="str">
        <x:v>联调 / Mock 端到端闭环</x:v>
      </x:c>
      <x:c r="E79" s="13" t="str">
        <x:v>P1-QA-001-01</x:v>
      </x:c>
      <x:c r="F79" s="13" t="str">
        <x:v>后端（共享任务）</x:v>
      </x:c>
      <x:c r="G79" s="13" t="str">
        <x:v>登录→多主体→扣测试点→Mock×3→结果</x:v>
      </x:c>
      <x:c r="H79" s="13" t="str">
        <x:v>登录→多主体→扣测试点→Mock×3→结果</x:v>
      </x:c>
      <x:c r="I79" s="13" t="str">
        <x:v>自动化用例通过并保存验收结果；覆盖主流程、异常、刷新恢复和重复操作。</x:v>
      </x:c>
      <x:c r="J79" s="13" t="str">
        <x:v>—</x:v>
      </x:c>
      <x:c r="K79" s="13" t="str">
        <x:v>待完成</x:v>
      </x:c>
      <x:c r="L79" s="13" t="str">
        <x:v>08-29～08-30</x:v>
      </x:c>
      <x:c r="M79" s="13" t="str">
        <x:v>—</x:v>
      </x:c>
      <x:c r="N79" s="13" t="str">
        <x:v>配置版本、Skill版本、模型名、部署版本、provider request ID和环境标识</x:v>
      </x:c>
      <x:c r="O79" s="13" t="str">
        <x:v>部署/服务 health状态；配置启用/停用；队列消息 queued/processing/DLQ</x:v>
      </x:c>
      <x:c r="P79" s="13" t="str">
        <x:v>配置缺失、密钥无效、限流、部署失败、队列积压、定时任务重复执行</x:v>
      </x:c>
      <x:c r="Q79" s="13" t="str">
        <x:v>环境与密钥隔离；最小权限；生产操作留审计；日志脱敏</x:v>
      </x:c>
      <x:c r="R79" s="13" t="str">
        <x:v>部署可回滚；Worker/清理任务可重入；密钥不入库不导出；日志按合规期限保留</x:v>
      </x:c>
    </x:row>
    <x:row r="80" ht="72" customHeight="1">
      <x:c r="A80" s="13" t="str">
        <x:v>第 1 期</x:v>
      </x:c>
      <x:c r="B80" s="13" t="str">
        <x:v>6. 平台、工程与上线</x:v>
      </x:c>
      <x:c r="C80" s="13" t="str">
        <x:v>P1-QA-001</x:v>
      </x:c>
      <x:c r="D80" s="13" t="str">
        <x:v>联调 / Mock 端到端闭环</x:v>
      </x:c>
      <x:c r="E80" s="13" t="str">
        <x:v>P1-QA-001-02</x:v>
      </x:c>
      <x:c r="F80" s="13" t="str">
        <x:v>后端（共享任务）</x:v>
      </x:c>
      <x:c r="G80" s="13" t="str">
        <x:v>断网/刷新/重复提交测试</x:v>
      </x:c>
      <x:c r="H80" s="13" t="str">
        <x:v>断网/刷新/重复提交测试</x:v>
      </x:c>
      <x:c r="I80" s="13" t="str">
        <x:v>重复与并发请求不重复创建、扣点或入账；任一步失败可回滚并可安全重试。</x:v>
      </x:c>
      <x:c r="J80" s="13" t="str">
        <x:v>P1-QA-001-01</x:v>
      </x:c>
      <x:c r="K80" s="13" t="str">
        <x:v>待完成</x:v>
      </x:c>
      <x:c r="L80" s="13" t="str">
        <x:v>08-29～08-30</x:v>
      </x:c>
      <x:c r="M80" s="13" t="str">
        <x:v>—</x:v>
      </x:c>
      <x:c r="N80" s="13" t="str">
        <x:v>配置版本、Skill版本、模型名、部署版本、provider request ID和环境标识</x:v>
      </x:c>
      <x:c r="O80" s="13" t="str">
        <x:v>部署/服务 health状态；配置启用/停用；队列消息 queued/processing/DLQ</x:v>
      </x:c>
      <x:c r="P80" s="13" t="str">
        <x:v>配置缺失、密钥无效、限流、部署失败、队列积压、定时任务重复执行</x:v>
      </x:c>
      <x:c r="Q80" s="13" t="str">
        <x:v>环境与密钥隔离；最小权限；生产操作留审计；日志脱敏</x:v>
      </x:c>
      <x:c r="R80" s="13" t="str">
        <x:v>部署可回滚；Worker/清理任务可重入；密钥不入库不导出；日志按合规期限保留</x:v>
      </x:c>
    </x:row>
    <x:row r="81" ht="72" customHeight="1">
      <x:c r="A81" s="13" t="str">
        <x:v>第 2 期</x:v>
      </x:c>
      <x:c r="B81" s="13" t="str">
        <x:v>2. 图标设计与生成</x:v>
      </x:c>
      <x:c r="C81" s="13" t="str">
        <x:v>P2-BE-001</x:v>
      </x:c>
      <x:c r="D81" s="13" t="str">
        <x:v>OpenAI / 接入真实生成</x:v>
      </x:c>
      <x:c r="E81" s="13" t="str">
        <x:v>P2-BE-001-01</x:v>
      </x:c>
      <x:c r="F81" s="13" t="str">
        <x:v>后端</x:v>
      </x:c>
      <x:c r="G81" s="13" t="str">
        <x:v>接入真实生成：平台 API Key</x:v>
      </x:c>
      <x:c r="H81" s="13" t="str">
        <x:v>接入真实生成：平台 API Key</x:v>
      </x:c>
      <x:c r="I81" s="13" t="str">
        <x:v>请求、成功响应和稳定错误码均有测试；鉴权与越权场景通过；接口文档可供联调。</x:v>
      </x:c>
      <x:c r="J81" s="13" t="str">
        <x:v>P1-BE-010</x:v>
      </x:c>
      <x:c r="K81" s="13" t="str">
        <x:v>待完成</x:v>
      </x:c>
      <x:c r="L81" s="13" t="str">
        <x:v>08-31～09-02</x:v>
      </x:c>
      <x:c r="M81" s="13" t="str">
        <x:v>—</x:v>
      </x:c>
      <x:c r="N81" s="13" t="str">
        <x:v>job_id、subject_id、variant_id、asset_id 均为UUID；创建请求另带 idempotency_key；记录 settings/skill/model 版本</x:v>
      </x:c>
      <x:c r="O81" s="13" t="str">
        <x:v>job: queued/processing/completed/partial/failed；variant: queued/processing/completed/failed</x:v>
      </x:c>
      <x:c r="P81" s="13" t="str">
        <x:v>1–20主体、每主体3方案、余额不足、内容拦截、模型超时、部分成功、刷新恢复</x:v>
      </x:c>
      <x:c r="Q81" s="13" t="str">
        <x:v>仅本人查看任务与结果；Worker 使用服务端权限；平台API Key不下发前端</x:v>
      </x:c>
      <x:c r="R81" s="13" t="str">
        <x:v>创建+扣点同事务；每用户1个活动任务；队列重投跳过已完成variant；图片保留30天</x:v>
      </x:c>
    </x:row>
    <x:row r="82" ht="72" customHeight="1">
      <x:c r="A82" s="13" t="str">
        <x:v>第 2 期</x:v>
      </x:c>
      <x:c r="B82" s="13" t="str">
        <x:v>2. 图标设计与生成</x:v>
      </x:c>
      <x:c r="C82" s="13" t="str">
        <x:v>P2-BE-001</x:v>
      </x:c>
      <x:c r="D82" s="13" t="str">
        <x:v>OpenAI / 接入真实生成</x:v>
      </x:c>
      <x:c r="E82" s="13" t="str">
        <x:v>P2-BE-001-02</x:v>
      </x:c>
      <x:c r="F82" s="13" t="str">
        <x:v>后端</x:v>
      </x:c>
      <x:c r="G82" s="13" t="str">
        <x:v>接入真实生成：`gpt-image-2`</x:v>
      </x:c>
      <x:c r="H82" s="13" t="str">
        <x:v>接入真实生成：`gpt-image-2`</x:v>
      </x:c>
      <x:c r="I82" s="13" t="str">
        <x:v>该条目可独立实现和验证；类型检查及对应测试通过；结果满足父任务验收标准。</x:v>
      </x:c>
      <x:c r="J82" s="13" t="str">
        <x:v>P2-BE-001-01</x:v>
      </x:c>
      <x:c r="K82" s="13" t="str">
        <x:v>待完成</x:v>
      </x:c>
      <x:c r="L82" s="13" t="str">
        <x:v>08-31～09-02</x:v>
      </x:c>
      <x:c r="M82" s="13" t="str">
        <x:v>—</x:v>
      </x:c>
      <x:c r="N82" s="13" t="str">
        <x:v>job_id、subject_id、variant_id、asset_id 均为UUID；创建请求另带 idempotency_key；记录 settings/skill/model 版本</x:v>
      </x:c>
      <x:c r="O82" s="13" t="str">
        <x:v>job: queued/processing/completed/partial/failed；variant: queued/processing/completed/failed</x:v>
      </x:c>
      <x:c r="P82" s="13" t="str">
        <x:v>1–20主体、每主体3方案、余额不足、内容拦截、模型超时、部分成功、刷新恢复</x:v>
      </x:c>
      <x:c r="Q82" s="13" t="str">
        <x:v>仅本人查看任务与结果；Worker 使用服务端权限；平台API Key不下发前端</x:v>
      </x:c>
      <x:c r="R82" s="13" t="str">
        <x:v>创建+扣点同事务；每用户1个活动任务；队列重投跳过已完成variant；图片保留30天</x:v>
      </x:c>
    </x:row>
    <x:row r="83" ht="72" customHeight="1">
      <x:c r="A83" s="13" t="str">
        <x:v>第 2 期</x:v>
      </x:c>
      <x:c r="B83" s="13" t="str">
        <x:v>2. 图标设计与生成</x:v>
      </x:c>
      <x:c r="C83" s="13" t="str">
        <x:v>P2-BE-001</x:v>
      </x:c>
      <x:c r="D83" s="13" t="str">
        <x:v>OpenAI / 接入真实生成</x:v>
      </x:c>
      <x:c r="E83" s="13" t="str">
        <x:v>P2-BE-001-03</x:v>
      </x:c>
      <x:c r="F83" s="13" t="str">
        <x:v>后端</x:v>
      </x:c>
      <x:c r="G83" s="13" t="str">
        <x:v>接入真实生成：medium</x:v>
      </x:c>
      <x:c r="H83" s="13" t="str">
        <x:v>接入真实生成：medium</x:v>
      </x:c>
      <x:c r="I83" s="13" t="str">
        <x:v>该条目可独立实现和验证；类型检查及对应测试通过；结果满足父任务验收标准。</x:v>
      </x:c>
      <x:c r="J83" s="13" t="str">
        <x:v>P2-BE-001-02</x:v>
      </x:c>
      <x:c r="K83" s="13" t="str">
        <x:v>待完成</x:v>
      </x:c>
      <x:c r="L83" s="13" t="str">
        <x:v>08-31～09-02</x:v>
      </x:c>
      <x:c r="M83" s="13" t="str">
        <x:v>—</x:v>
      </x:c>
      <x:c r="N83" s="13" t="str">
        <x:v>job_id、subject_id、variant_id、asset_id 均为UUID；创建请求另带 idempotency_key；记录 settings/skill/model 版本</x:v>
      </x:c>
      <x:c r="O83" s="13" t="str">
        <x:v>job: queued/processing/completed/partial/failed；variant: queued/processing/completed/failed</x:v>
      </x:c>
      <x:c r="P83" s="13" t="str">
        <x:v>1–20主体、每主体3方案、余额不足、内容拦截、模型超时、部分成功、刷新恢复</x:v>
      </x:c>
      <x:c r="Q83" s="13" t="str">
        <x:v>仅本人查看任务与结果；Worker 使用服务端权限；平台API Key不下发前端</x:v>
      </x:c>
      <x:c r="R83" s="13" t="str">
        <x:v>创建+扣点同事务；每用户1个活动任务；队列重投跳过已完成variant；图片保留30天</x:v>
      </x:c>
    </x:row>
    <x:row r="84" ht="72" customHeight="1">
      <x:c r="A84" s="13" t="str">
        <x:v>第 2 期</x:v>
      </x:c>
      <x:c r="B84" s="13" t="str">
        <x:v>2. 图标设计与生成</x:v>
      </x:c>
      <x:c r="C84" s="13" t="str">
        <x:v>P2-BE-001</x:v>
      </x:c>
      <x:c r="D84" s="13" t="str">
        <x:v>OpenAI / 接入真实生成</x:v>
      </x:c>
      <x:c r="E84" s="13" t="str">
        <x:v>P2-BE-001-04</x:v>
      </x:c>
      <x:c r="F84" s="13" t="str">
        <x:v>后端</x:v>
      </x:c>
      <x:c r="G84" s="13" t="str">
        <x:v>接入真实生成：超时</x:v>
      </x:c>
      <x:c r="H84" s="13" t="str">
        <x:v>接入真实生成：超时</x:v>
      </x:c>
      <x:c r="I84" s="13" t="str">
        <x:v>该条目可独立实现和验证；类型检查及对应测试通过；结果满足父任务验收标准。</x:v>
      </x:c>
      <x:c r="J84" s="13" t="str">
        <x:v>P2-BE-001-03</x:v>
      </x:c>
      <x:c r="K84" s="13" t="str">
        <x:v>待完成</x:v>
      </x:c>
      <x:c r="L84" s="13" t="str">
        <x:v>08-31～09-02</x:v>
      </x:c>
      <x:c r="M84" s="13" t="str">
        <x:v>—</x:v>
      </x:c>
      <x:c r="N84" s="13" t="str">
        <x:v>job_id、subject_id、variant_id、asset_id 均为UUID；创建请求另带 idempotency_key；记录 settings/skill/model 版本</x:v>
      </x:c>
      <x:c r="O84" s="13" t="str">
        <x:v>job: queued/processing/completed/partial/failed；variant: queued/processing/completed/failed</x:v>
      </x:c>
      <x:c r="P84" s="13" t="str">
        <x:v>1–20主体、每主体3方案、余额不足、内容拦截、模型超时、部分成功、刷新恢复</x:v>
      </x:c>
      <x:c r="Q84" s="13" t="str">
        <x:v>仅本人查看任务与结果；Worker 使用服务端权限；平台API Key不下发前端</x:v>
      </x:c>
      <x:c r="R84" s="13" t="str">
        <x:v>创建+扣点同事务；每用户1个活动任务；队列重投跳过已完成variant；图片保留30天</x:v>
      </x:c>
    </x:row>
    <x:row r="85" ht="72" customHeight="1">
      <x:c r="A85" s="13" t="str">
        <x:v>第 2 期</x:v>
      </x:c>
      <x:c r="B85" s="13" t="str">
        <x:v>2. 图标设计与生成</x:v>
      </x:c>
      <x:c r="C85" s="13" t="str">
        <x:v>P2-BE-001</x:v>
      </x:c>
      <x:c r="D85" s="13" t="str">
        <x:v>OpenAI / 接入真实生成</x:v>
      </x:c>
      <x:c r="E85" s="13" t="str">
        <x:v>P2-BE-001-05</x:v>
      </x:c>
      <x:c r="F85" s="13" t="str">
        <x:v>后端</x:v>
      </x:c>
      <x:c r="G85" s="13" t="str">
        <x:v>接入真实生成：限流和供应商 request ID</x:v>
      </x:c>
      <x:c r="H85" s="13" t="str">
        <x:v>接入真实生成：限流和供应商 request ID</x:v>
      </x:c>
      <x:c r="I85" s="13" t="str">
        <x:v>该条目可独立实现和验证；类型检查及对应测试通过；结果满足父任务验收标准。</x:v>
      </x:c>
      <x:c r="J85" s="13" t="str">
        <x:v>P2-BE-001-04</x:v>
      </x:c>
      <x:c r="K85" s="13" t="str">
        <x:v>待完成</x:v>
      </x:c>
      <x:c r="L85" s="13" t="str">
        <x:v>08-31～09-02</x:v>
      </x:c>
      <x:c r="M85" s="13" t="str">
        <x:v>—</x:v>
      </x:c>
      <x:c r="N85" s="13" t="str">
        <x:v>job_id、subject_id、variant_id、asset_id 均为UUID；创建请求另带 idempotency_key；记录 settings/skill/model 版本</x:v>
      </x:c>
      <x:c r="O85" s="13" t="str">
        <x:v>job: queued/processing/completed/partial/failed；variant: queued/processing/completed/failed</x:v>
      </x:c>
      <x:c r="P85" s="13" t="str">
        <x:v>1–20主体、每主体3方案、余额不足、内容拦截、模型超时、部分成功、刷新恢复</x:v>
      </x:c>
      <x:c r="Q85" s="13" t="str">
        <x:v>仅本人查看任务与结果；Worker 使用服务端权限；平台API Key不下发前端</x:v>
      </x:c>
      <x:c r="R85" s="13" t="str">
        <x:v>创建+扣点同事务；每用户1个活动任务；队列重投跳过已完成variant；图片保留30天</x:v>
      </x:c>
    </x:row>
    <x:row r="86" ht="72" customHeight="1">
      <x:c r="A86" s="13" t="str">
        <x:v>第 2 期</x:v>
      </x:c>
      <x:c r="B86" s="13" t="str">
        <x:v>2. 图标设计与生成</x:v>
      </x:c>
      <x:c r="C86" s="13" t="str">
        <x:v>P2-BE-002</x:v>
      </x:c>
      <x:c r="D86" s="13" t="str">
        <x:v>内容安全 / 请求与结果检查</x:v>
      </x:c>
      <x:c r="E86" s="13" t="str">
        <x:v>P2-BE-002-01</x:v>
      </x:c>
      <x:c r="F86" s="13" t="str">
        <x:v>后端</x:v>
      </x:c>
      <x:c r="G86" s="13" t="str">
        <x:v>通用 UI 图标边界</x:v>
      </x:c>
      <x:c r="H86" s="13" t="str">
        <x:v>通用 UI 图标边界</x:v>
      </x:c>
      <x:c r="I86" s="13" t="str">
        <x:v>该条目可独立实现和验证；类型检查及对应测试通过；结果满足父任务验收标准。</x:v>
      </x:c>
      <x:c r="J86" s="13" t="str">
        <x:v>—</x:v>
      </x:c>
      <x:c r="K86" s="13" t="str">
        <x:v>待完成</x:v>
      </x:c>
      <x:c r="L86" s="13" t="str">
        <x:v>08-31～09-02</x:v>
      </x:c>
      <x:c r="M86" s="13" t="str">
        <x:v>—</x:v>
      </x:c>
      <x:c r="N86" s="13" t="str">
        <x:v>job_id、subject_id、variant_id、asset_id 均为UUID；创建请求另带 idempotency_key；记录 settings/skill/model 版本</x:v>
      </x:c>
      <x:c r="O86" s="13" t="str">
        <x:v>job: queued/processing/completed/partial/failed；variant: queued/processing/completed/failed</x:v>
      </x:c>
      <x:c r="P86" s="13" t="str">
        <x:v>1–20主体、每主体3方案、余额不足、内容拦截、模型超时、部分成功、刷新恢复</x:v>
      </x:c>
      <x:c r="Q86" s="13" t="str">
        <x:v>仅本人查看任务与结果；Worker 使用服务端权限；平台API Key不下发前端</x:v>
      </x:c>
      <x:c r="R86" s="13" t="str">
        <x:v>创建+扣点同事务；每用户1个活动任务；队列重投跳过已完成variant；图片保留30天</x:v>
      </x:c>
    </x:row>
    <x:row r="87" ht="72" customHeight="1">
      <x:c r="A87" s="13" t="str">
        <x:v>第 2 期</x:v>
      </x:c>
      <x:c r="B87" s="13" t="str">
        <x:v>2. 图标设计与生成</x:v>
      </x:c>
      <x:c r="C87" s="13" t="str">
        <x:v>P2-BE-002</x:v>
      </x:c>
      <x:c r="D87" s="13" t="str">
        <x:v>内容安全 / 请求与结果检查</x:v>
      </x:c>
      <x:c r="E87" s="13" t="str">
        <x:v>P2-BE-002-02</x:v>
      </x:c>
      <x:c r="F87" s="13" t="str">
        <x:v>后端</x:v>
      </x:c>
      <x:c r="G87" s="13" t="str">
        <x:v>品牌/角色/违法请求拦截</x:v>
      </x:c>
      <x:c r="H87" s="13" t="str">
        <x:v>品牌/角色/违法请求拦截</x:v>
      </x:c>
      <x:c r="I87" s="13" t="str">
        <x:v>该条目可独立实现和验证；类型检查及对应测试通过；结果满足父任务验收标准。</x:v>
      </x:c>
      <x:c r="J87" s="13" t="str">
        <x:v>P2-BE-002-01</x:v>
      </x:c>
      <x:c r="K87" s="13" t="str">
        <x:v>待完成</x:v>
      </x:c>
      <x:c r="L87" s="13" t="str">
        <x:v>08-31～09-02</x:v>
      </x:c>
      <x:c r="M87" s="13" t="str">
        <x:v>—</x:v>
      </x:c>
      <x:c r="N87" s="13" t="str">
        <x:v>job_id、subject_id、variant_id、asset_id 均为UUID；创建请求另带 idempotency_key；记录 settings/skill/model 版本</x:v>
      </x:c>
      <x:c r="O87" s="13" t="str">
        <x:v>job: queued/processing/completed/partial/failed；variant: queued/processing/completed/failed</x:v>
      </x:c>
      <x:c r="P87" s="13" t="str">
        <x:v>1–20主体、每主体3方案、余额不足、内容拦截、模型超时、部分成功、刷新恢复</x:v>
      </x:c>
      <x:c r="Q87" s="13" t="str">
        <x:v>仅本人查看任务与结果；Worker 使用服务端权限；平台API Key不下发前端</x:v>
      </x:c>
      <x:c r="R87" s="13" t="str">
        <x:v>创建+扣点同事务；每用户1个活动任务；队列重投跳过已完成variant；图片保留30天</x:v>
      </x:c>
    </x:row>
    <x:row r="88" ht="72" customHeight="1">
      <x:c r="A88" s="13" t="str">
        <x:v>第 2 期</x:v>
      </x:c>
      <x:c r="B88" s="13" t="str">
        <x:v>2. 图标设计与生成</x:v>
      </x:c>
      <x:c r="C88" s="13" t="str">
        <x:v>P2-BE-002</x:v>
      </x:c>
      <x:c r="D88" s="13" t="str">
        <x:v>内容安全 / 请求与结果检查</x:v>
      </x:c>
      <x:c r="E88" s="13" t="str">
        <x:v>P2-BE-002-03</x:v>
      </x:c>
      <x:c r="F88" s="13" t="str">
        <x:v>后端</x:v>
      </x:c>
      <x:c r="G88" s="13" t="str">
        <x:v>拦截不扣点</x:v>
      </x:c>
      <x:c r="H88" s="13" t="str">
        <x:v>拦截不扣点</x:v>
      </x:c>
      <x:c r="I88" s="13" t="str">
        <x:v>该条目可独立实现和验证；类型检查及对应测试通过；结果满足父任务验收标准。</x:v>
      </x:c>
      <x:c r="J88" s="13" t="str">
        <x:v>P2-BE-002-02</x:v>
      </x:c>
      <x:c r="K88" s="13" t="str">
        <x:v>待完成</x:v>
      </x:c>
      <x:c r="L88" s="13" t="str">
        <x:v>08-31～09-02</x:v>
      </x:c>
      <x:c r="M88" s="13" t="str">
        <x:v>—</x:v>
      </x:c>
      <x:c r="N88" s="13" t="str">
        <x:v>job_id、subject_id、variant_id、asset_id 均为UUID；创建请求另带 idempotency_key；记录 settings/skill/model 版本</x:v>
      </x:c>
      <x:c r="O88" s="13" t="str">
        <x:v>job: queued/processing/completed/partial/failed；variant: queued/processing/completed/failed</x:v>
      </x:c>
      <x:c r="P88" s="13" t="str">
        <x:v>1–20主体、每主体3方案、余额不足、内容拦截、模型超时、部分成功、刷新恢复</x:v>
      </x:c>
      <x:c r="Q88" s="13" t="str">
        <x:v>仅本人查看任务与结果；Worker 使用服务端权限；平台API Key不下发前端</x:v>
      </x:c>
      <x:c r="R88" s="13" t="str">
        <x:v>创建+扣点同事务；每用户1个活动任务；队列重投跳过已完成variant；图片保留30天</x:v>
      </x:c>
    </x:row>
    <x:row r="89" ht="72" customHeight="1">
      <x:c r="A89" s="13" t="str">
        <x:v>第 2 期</x:v>
      </x:c>
      <x:c r="B89" s="13" t="str">
        <x:v>2. 图标设计与生成</x:v>
      </x:c>
      <x:c r="C89" s="13" t="str">
        <x:v>P2-BE-003</x:v>
      </x:c>
      <x:c r="D89" s="13" t="str">
        <x:v>图片处理 / PNG 母版与尺寸派生</x:v>
      </x:c>
      <x:c r="E89" s="13" t="str">
        <x:v>P2-BE-003-01</x:v>
      </x:c>
      <x:c r="F89" s="13" t="str">
        <x:v>后端</x:v>
      </x:c>
      <x:c r="G89" s="13" t="str">
        <x:v>正方形裁切</x:v>
      </x:c>
      <x:c r="H89" s="13" t="str">
        <x:v>正方形裁切</x:v>
      </x:c>
      <x:c r="I89" s="13" t="str">
        <x:v>该条目可独立实现和验证；类型检查及对应测试通过；结果满足父任务验收标准。</x:v>
      </x:c>
      <x:c r="J89" s="13" t="str">
        <x:v>P2-BE-001</x:v>
      </x:c>
      <x:c r="K89" s="13" t="str">
        <x:v>待完成</x:v>
      </x:c>
      <x:c r="L89" s="13" t="str">
        <x:v>09-01～09-04</x:v>
      </x:c>
      <x:c r="M89" s="13" t="str">
        <x:v>—</x:v>
      </x:c>
      <x:c r="N89" s="13" t="str">
        <x:v>job_id、subject_id、variant_id、asset_id 均为UUID；创建请求另带 idempotency_key；记录 settings/skill/model 版本</x:v>
      </x:c>
      <x:c r="O89" s="13" t="str">
        <x:v>job: queued/processing/completed/partial/failed；variant: queued/processing/completed/failed</x:v>
      </x:c>
      <x:c r="P89" s="13" t="str">
        <x:v>1–20主体、每主体3方案、余额不足、内容拦截、模型超时、部分成功、刷新恢复</x:v>
      </x:c>
      <x:c r="Q89" s="13" t="str">
        <x:v>仅本人查看任务与结果；Worker 使用服务端权限；平台API Key不下发前端</x:v>
      </x:c>
      <x:c r="R89" s="13" t="str">
        <x:v>创建+扣点同事务；每用户1个活动任务；队列重投跳过已完成variant；图片保留30天</x:v>
      </x:c>
    </x:row>
    <x:row r="90" ht="72" customHeight="1">
      <x:c r="A90" s="13" t="str">
        <x:v>第 2 期</x:v>
      </x:c>
      <x:c r="B90" s="13" t="str">
        <x:v>2. 图标设计与生成</x:v>
      </x:c>
      <x:c r="C90" s="13" t="str">
        <x:v>P2-BE-003</x:v>
      </x:c>
      <x:c r="D90" s="13" t="str">
        <x:v>图片处理 / PNG 母版与尺寸派生</x:v>
      </x:c>
      <x:c r="E90" s="13" t="str">
        <x:v>P2-BE-003-02</x:v>
      </x:c>
      <x:c r="F90" s="13" t="str">
        <x:v>后端</x:v>
      </x:c>
      <x:c r="G90" s="13" t="str">
        <x:v>16–1024px</x:v>
      </x:c>
      <x:c r="H90" s="13" t="str">
        <x:v>16–1024px</x:v>
      </x:c>
      <x:c r="I90" s="13" t="str">
        <x:v>该条目可独立实现和验证；类型检查及对应测试通过；结果满足父任务验收标准。</x:v>
      </x:c>
      <x:c r="J90" s="13" t="str">
        <x:v>P2-BE-003-01</x:v>
      </x:c>
      <x:c r="K90" s="13" t="str">
        <x:v>待完成</x:v>
      </x:c>
      <x:c r="L90" s="13" t="str">
        <x:v>09-01～09-04</x:v>
      </x:c>
      <x:c r="M90" s="13" t="str">
        <x:v>—</x:v>
      </x:c>
      <x:c r="N90" s="13" t="str">
        <x:v>job_id、subject_id、variant_id、asset_id 均为UUID；创建请求另带 idempotency_key；记录 settings/skill/model 版本</x:v>
      </x:c>
      <x:c r="O90" s="13" t="str">
        <x:v>job: queued/processing/completed/partial/failed；variant: queued/processing/completed/failed</x:v>
      </x:c>
      <x:c r="P90" s="13" t="str">
        <x:v>1–20主体、每主体3方案、余额不足、内容拦截、模型超时、部分成功、刷新恢复</x:v>
      </x:c>
      <x:c r="Q90" s="13" t="str">
        <x:v>仅本人查看任务与结果；Worker 使用服务端权限；平台API Key不下发前端</x:v>
      </x:c>
      <x:c r="R90" s="13" t="str">
        <x:v>创建+扣点同事务；每用户1个活动任务；队列重投跳过已完成variant；图片保留30天</x:v>
      </x:c>
    </x:row>
    <x:row r="91" ht="72" customHeight="1">
      <x:c r="A91" s="13" t="str">
        <x:v>第 2 期</x:v>
      </x:c>
      <x:c r="B91" s="13" t="str">
        <x:v>2. 图标设计与生成</x:v>
      </x:c>
      <x:c r="C91" s="13" t="str">
        <x:v>P2-BE-003</x:v>
      </x:c>
      <x:c r="D91" s="13" t="str">
        <x:v>图片处理 / PNG 母版与尺寸派生</x:v>
      </x:c>
      <x:c r="E91" s="13" t="str">
        <x:v>P2-BE-003-03</x:v>
      </x:c>
      <x:c r="F91" s="13" t="str">
        <x:v>后端</x:v>
      </x:c>
      <x:c r="G91" s="13" t="str">
        <x:v>RGBA</x:v>
      </x:c>
      <x:c r="H91" s="13" t="str">
        <x:v>RGBA</x:v>
      </x:c>
      <x:c r="I91" s="13" t="str">
        <x:v>输出文件格式、数量、尺寸、透明/背景规则和所有权校验符合 PRD；失败可追踪。</x:v>
      </x:c>
      <x:c r="J91" s="13" t="str">
        <x:v>P2-BE-003-02</x:v>
      </x:c>
      <x:c r="K91" s="13" t="str">
        <x:v>待完成</x:v>
      </x:c>
      <x:c r="L91" s="13" t="str">
        <x:v>09-01～09-04</x:v>
      </x:c>
      <x:c r="M91" s="13" t="str">
        <x:v>—</x:v>
      </x:c>
      <x:c r="N91" s="13" t="str">
        <x:v>job_id、subject_id、variant_id、asset_id 均为UUID；创建请求另带 idempotency_key；记录 settings/skill/model 版本</x:v>
      </x:c>
      <x:c r="O91" s="13" t="str">
        <x:v>job: queued/processing/completed/partial/failed；variant: queued/processing/completed/failed</x:v>
      </x:c>
      <x:c r="P91" s="13" t="str">
        <x:v>1–20主体、每主体3方案、余额不足、内容拦截、模型超时、部分成功、刷新恢复</x:v>
      </x:c>
      <x:c r="Q91" s="13" t="str">
        <x:v>仅本人查看任务与结果；Worker 使用服务端权限；平台API Key不下发前端</x:v>
      </x:c>
      <x:c r="R91" s="13" t="str">
        <x:v>创建+扣点同事务；每用户1个活动任务；队列重投跳过已完成variant；图片保留30天</x:v>
      </x:c>
    </x:row>
    <x:row r="92" ht="72" customHeight="1">
      <x:c r="A92" s="13" t="str">
        <x:v>第 2 期</x:v>
      </x:c>
      <x:c r="B92" s="13" t="str">
        <x:v>2. 图标设计与生成</x:v>
      </x:c>
      <x:c r="C92" s="13" t="str">
        <x:v>P2-BE-003</x:v>
      </x:c>
      <x:c r="D92" s="13" t="str">
        <x:v>图片处理 / PNG 母版与尺寸派生</x:v>
      </x:c>
      <x:c r="E92" s="13" t="str">
        <x:v>P2-BE-003-04</x:v>
      </x:c>
      <x:c r="F92" s="13" t="str">
        <x:v>后端</x:v>
      </x:c>
      <x:c r="G92" s="13" t="str">
        <x:v>背景规则</x:v>
      </x:c>
      <x:c r="H92" s="13" t="str">
        <x:v>背景规则</x:v>
      </x:c>
      <x:c r="I92" s="13" t="str">
        <x:v>该条目可独立实现和验证；类型检查及对应测试通过；结果满足父任务验收标准。</x:v>
      </x:c>
      <x:c r="J92" s="13" t="str">
        <x:v>P2-BE-003-03</x:v>
      </x:c>
      <x:c r="K92" s="13" t="str">
        <x:v>待完成</x:v>
      </x:c>
      <x:c r="L92" s="13" t="str">
        <x:v>09-01～09-04</x:v>
      </x:c>
      <x:c r="M92" s="13" t="str">
        <x:v>—</x:v>
      </x:c>
      <x:c r="N92" s="13" t="str">
        <x:v>job_id、subject_id、variant_id、asset_id 均为UUID；创建请求另带 idempotency_key；记录 settings/skill/model 版本</x:v>
      </x:c>
      <x:c r="O92" s="13" t="str">
        <x:v>job: queued/processing/completed/partial/failed；variant: queued/processing/completed/failed</x:v>
      </x:c>
      <x:c r="P92" s="13" t="str">
        <x:v>1–20主体、每主体3方案、余额不足、内容拦截、模型超时、部分成功、刷新恢复</x:v>
      </x:c>
      <x:c r="Q92" s="13" t="str">
        <x:v>仅本人查看任务与结果；Worker 使用服务端权限；平台API Key不下发前端</x:v>
      </x:c>
      <x:c r="R92" s="13" t="str">
        <x:v>创建+扣点同事务；每用户1个活动任务；队列重投跳过已完成variant；图片保留30天</x:v>
      </x:c>
    </x:row>
    <x:row r="93" ht="72" customHeight="1">
      <x:c r="A93" s="13" t="str">
        <x:v>第 2 期</x:v>
      </x:c>
      <x:c r="B93" s="13" t="str">
        <x:v>2. 图标设计与生成</x:v>
      </x:c>
      <x:c r="C93" s="13" t="str">
        <x:v>P2-BE-003</x:v>
      </x:c>
      <x:c r="D93" s="13" t="str">
        <x:v>图片处理 / PNG 母版与尺寸派生</x:v>
      </x:c>
      <x:c r="E93" s="13" t="str">
        <x:v>P2-BE-003-05</x:v>
      </x:c>
      <x:c r="F93" s="13" t="str">
        <x:v>后端</x:v>
      </x:c>
      <x:c r="G93" s="13" t="str">
        <x:v>基础质量检查</x:v>
      </x:c>
      <x:c r="H93" s="13" t="str">
        <x:v>基础质量检查</x:v>
      </x:c>
      <x:c r="I93" s="13" t="str">
        <x:v>该条目可独立实现和验证；类型检查及对应测试通过；结果满足父任务验收标准。</x:v>
      </x:c>
      <x:c r="J93" s="13" t="str">
        <x:v>P2-BE-003-04</x:v>
      </x:c>
      <x:c r="K93" s="13" t="str">
        <x:v>待完成</x:v>
      </x:c>
      <x:c r="L93" s="13" t="str">
        <x:v>09-01～09-04</x:v>
      </x:c>
      <x:c r="M93" s="13" t="str">
        <x:v>—</x:v>
      </x:c>
      <x:c r="N93" s="13" t="str">
        <x:v>job_id、subject_id、variant_id、asset_id 均为UUID；创建请求另带 idempotency_key；记录 settings/skill/model 版本</x:v>
      </x:c>
      <x:c r="O93" s="13" t="str">
        <x:v>job: queued/processing/completed/partial/failed；variant: queued/processing/completed/failed</x:v>
      </x:c>
      <x:c r="P93" s="13" t="str">
        <x:v>1–20主体、每主体3方案、余额不足、内容拦截、模型超时、部分成功、刷新恢复</x:v>
      </x:c>
      <x:c r="Q93" s="13" t="str">
        <x:v>仅本人查看任务与结果；Worker 使用服务端权限；平台API Key不下发前端</x:v>
      </x:c>
      <x:c r="R93" s="13" t="str">
        <x:v>创建+扣点同事务；每用户1个活动任务；队列重投跳过已完成variant；图片保留30天</x:v>
      </x:c>
    </x:row>
    <x:row r="94" ht="72" customHeight="1">
      <x:c r="A94" s="13" t="str">
        <x:v>第 2 期</x:v>
      </x:c>
      <x:c r="B94" s="13" t="str">
        <x:v>3. 作品、预览与下载</x:v>
      </x:c>
      <x:c r="C94" s="13" t="str">
        <x:v>P2-BE-004</x:v>
      </x:c>
      <x:c r="D94" s="13" t="str">
        <x:v>私有存储 / v2 对象路径与 RLS</x:v>
      </x:c>
      <x:c r="E94" s="13" t="str">
        <x:v>P2-BE-004-01</x:v>
      </x:c>
      <x:c r="F94" s="13" t="str">
        <x:v>后端</x:v>
      </x:c>
      <x:c r="G94" s="13" t="str">
        <x:v>`{job}/{subject}/variant-{slot}/{size}.png`</x:v>
      </x:c>
      <x:c r="H94" s="13" t="str">
        <x:v>`{job}/{subject}/variant-{slot}/{size}.png`</x:v>
      </x:c>
      <x:c r="I94" s="13" t="str">
        <x:v>该条目可独立实现和验证；类型检查及对应测试通过；结果满足父任务验收标准。</x:v>
      </x:c>
      <x:c r="J94" s="13" t="str">
        <x:v>P2-BE-003</x:v>
      </x:c>
      <x:c r="K94" s="13" t="str">
        <x:v>待完成</x:v>
      </x:c>
      <x:c r="L94" s="13" t="str">
        <x:v>09-02～09-04</x:v>
      </x:c>
      <x:c r="M94" s="13" t="str">
        <x:v>—</x:v>
      </x:c>
      <x:c r="N94" s="13" t="str">
        <x:v>job/variant/asset UUID；下载归档 archive_id(UUID)；归档键由用户+选择集+尺寸形成</x:v>
      </x:c>
      <x:c r="O94" s="13" t="str">
        <x:v>asset: available/expired；archive: queued/processing/ready/failed/expired</x:v>
      </x:c>
      <x:c r="P94" s="13" t="str">
        <x:v>未选择、资源未就绪、尺寸不存在、签名URL过期、资产已清理、归档部分失败</x:v>
      </x:c>
      <x:c r="Q94" s="13" t="str">
        <x:v>单图和ZIP均校验本人所有权；私有Bucket；短时签名URL</x:v>
      </x:c>
      <x:c r="R94" s="13" t="str">
        <x:v>相同选择集24小时内复用归档；作品30天、归档24小时；有效PNG进入删除账户导出</x:v>
      </x:c>
    </x:row>
    <x:row r="95" ht="72" customHeight="1">
      <x:c r="A95" s="13" t="str">
        <x:v>第 2 期</x:v>
      </x:c>
      <x:c r="B95" s="13" t="str">
        <x:v>3. 作品、预览与下载</x:v>
      </x:c>
      <x:c r="C95" s="13" t="str">
        <x:v>P2-BE-004</x:v>
      </x:c>
      <x:c r="D95" s="13" t="str">
        <x:v>私有存储 / v2 对象路径与 RLS</x:v>
      </x:c>
      <x:c r="E95" s="13" t="str">
        <x:v>P2-BE-004-02</x:v>
      </x:c>
      <x:c r="F95" s="13" t="str">
        <x:v>后端</x:v>
      </x:c>
      <x:c r="G95" s="13" t="str">
        <x:v>私有 Bucket</x:v>
      </x:c>
      <x:c r="H95" s="13" t="str">
        <x:v>私有 Bucket</x:v>
      </x:c>
      <x:c r="I95" s="13" t="str">
        <x:v>测试与生产配置隔离；部署可重复；健康检查、告警和回滚步骤验证通过。</x:v>
      </x:c>
      <x:c r="J95" s="13" t="str">
        <x:v>P2-BE-004-01</x:v>
      </x:c>
      <x:c r="K95" s="13" t="str">
        <x:v>待完成</x:v>
      </x:c>
      <x:c r="L95" s="13" t="str">
        <x:v>09-02～09-04</x:v>
      </x:c>
      <x:c r="M95" s="13" t="str">
        <x:v>—</x:v>
      </x:c>
      <x:c r="N95" s="13" t="str">
        <x:v>job/variant/asset UUID；下载归档 archive_id(UUID)；归档键由用户+选择集+尺寸形成</x:v>
      </x:c>
      <x:c r="O95" s="13" t="str">
        <x:v>asset: available/expired；archive: queued/processing/ready/failed/expired</x:v>
      </x:c>
      <x:c r="P95" s="13" t="str">
        <x:v>未选择、资源未就绪、尺寸不存在、签名URL过期、资产已清理、归档部分失败</x:v>
      </x:c>
      <x:c r="Q95" s="13" t="str">
        <x:v>单图和ZIP均校验本人所有权；私有Bucket；短时签名URL</x:v>
      </x:c>
      <x:c r="R95" s="13" t="str">
        <x:v>相同选择集24小时内复用归档；作品30天、归档24小时；有效PNG进入删除账户导出</x:v>
      </x:c>
    </x:row>
    <x:row r="96" ht="72" customHeight="1">
      <x:c r="A96" s="13" t="str">
        <x:v>第 2 期</x:v>
      </x:c>
      <x:c r="B96" s="13" t="str">
        <x:v>3. 作品、预览与下载</x:v>
      </x:c>
      <x:c r="C96" s="13" t="str">
        <x:v>P2-BE-004</x:v>
      </x:c>
      <x:c r="D96" s="13" t="str">
        <x:v>私有存储 / v2 对象路径与 RLS</x:v>
      </x:c>
      <x:c r="E96" s="13" t="str">
        <x:v>P2-BE-004-03</x:v>
      </x:c>
      <x:c r="F96" s="13" t="str">
        <x:v>后端</x:v>
      </x:c>
      <x:c r="G96" s="13" t="str">
        <x:v>所有权测试</x:v>
      </x:c>
      <x:c r="H96" s="13" t="str">
        <x:v>所有权测试</x:v>
      </x:c>
      <x:c r="I96" s="13" t="str">
        <x:v>允许与拒绝场景均有自动化测试；敏感信息不进入浏览器、日志或导出文件。</x:v>
      </x:c>
      <x:c r="J96" s="13" t="str">
        <x:v>P2-BE-004-02</x:v>
      </x:c>
      <x:c r="K96" s="13" t="str">
        <x:v>待完成</x:v>
      </x:c>
      <x:c r="L96" s="13" t="str">
        <x:v>09-02～09-04</x:v>
      </x:c>
      <x:c r="M96" s="13" t="str">
        <x:v>—</x:v>
      </x:c>
      <x:c r="N96" s="13" t="str">
        <x:v>job/variant/asset UUID；下载归档 archive_id(UUID)；归档键由用户+选择集+尺寸形成</x:v>
      </x:c>
      <x:c r="O96" s="13" t="str">
        <x:v>asset: available/expired；archive: queued/processing/ready/failed/expired</x:v>
      </x:c>
      <x:c r="P96" s="13" t="str">
        <x:v>未选择、资源未就绪、尺寸不存在、签名URL过期、资产已清理、归档部分失败</x:v>
      </x:c>
      <x:c r="Q96" s="13" t="str">
        <x:v>单图和ZIP均校验本人所有权；私有Bucket；短时签名URL</x:v>
      </x:c>
      <x:c r="R96" s="13" t="str">
        <x:v>相同选择集24小时内复用归档；作品30天、归档24小时；有效PNG进入删除账户导出</x:v>
      </x:c>
    </x:row>
    <x:row r="97" ht="72" customHeight="1">
      <x:c r="A97" s="13" t="str">
        <x:v>第 2 期</x:v>
      </x:c>
      <x:c r="B97" s="13" t="str">
        <x:v>4. 点数与商业化</x:v>
      </x:c>
      <x:c r="C97" s="13" t="str">
        <x:v>P2-BE-005</x:v>
      </x:c>
      <x:c r="D97" s="13" t="str">
        <x:v>状态与返还 / 部分成功处理</x:v>
      </x:c>
      <x:c r="E97" s="13" t="str">
        <x:v>P2-BE-005-01</x:v>
      </x:c>
      <x:c r="F97" s="13" t="str">
        <x:v>后端</x:v>
      </x:c>
      <x:c r="G97" s="13" t="str">
        <x:v>自动重试</x:v>
      </x:c>
      <x:c r="H97" s="13" t="str">
        <x:v>自动重试</x:v>
      </x:c>
      <x:c r="I97" s="13" t="str">
        <x:v>该条目可独立实现和验证；类型检查及对应测试通过；结果满足父任务验收标准。</x:v>
      </x:c>
      <x:c r="J97" s="13" t="str">
        <x:v>P2-BE-004</x:v>
      </x:c>
      <x:c r="K97" s="13" t="str">
        <x:v>待完成</x:v>
      </x:c>
      <x:c r="L97" s="13" t="str">
        <x:v>09-03～09-05</x:v>
      </x:c>
      <x:c r="M97" s="13" t="str">
        <x:v>—</x:v>
      </x:c>
      <x:c r="N97" s="13" t="str">
        <x:v>order id(UUID)+order_number(后端生成)；ledger_id(UUID)；Stripe session/payment/event ID；package/pricing version</x:v>
      </x:c>
      <x:c r="O97" s="13" t="str">
        <x:v>order: pending/paid/canceled/expired/failed/refunded；账本记录不可变，余额为快照</x:v>
      </x:c>
      <x:c r="P97" s="13" t="str">
        <x:v>套餐停用/改价、重复点击、Checkout失败、Webhook重复/乱序/伪造、金额币种不一致、退款争议</x:v>
      </x:c>
      <x:c r="Q97" s="13" t="str">
        <x:v>用户只读本人订单/账本；只有验签Webhook可入账；管理员调点需授权和审计</x:v>
      </x:c>
      <x:c r="R97" s="13" t="str">
        <x:v>(user_id,idempotency_key)防重复下单；Event ID去重；订单行锁原子入账；订单/账本进入个人数据导出</x:v>
      </x:c>
    </x:row>
    <x:row r="98" ht="72" customHeight="1">
      <x:c r="A98" s="13" t="str">
        <x:v>第 2 期</x:v>
      </x:c>
      <x:c r="B98" s="13" t="str">
        <x:v>4. 点数与商业化</x:v>
      </x:c>
      <x:c r="C98" s="13" t="str">
        <x:v>P2-BE-005</x:v>
      </x:c>
      <x:c r="D98" s="13" t="str">
        <x:v>状态与返还 / 部分成功处理</x:v>
      </x:c>
      <x:c r="E98" s="13" t="str">
        <x:v>P2-BE-005-02</x:v>
      </x:c>
      <x:c r="F98" s="13" t="str">
        <x:v>后端</x:v>
      </x:c>
      <x:c r="G98" s="13" t="str">
        <x:v>最终不足 3 个方案返还该主体 1 点</x:v>
      </x:c>
      <x:c r="H98" s="13" t="str">
        <x:v>最终不足 3 个方案返还该主体 1 点</x:v>
      </x:c>
      <x:c r="I98" s="13" t="str">
        <x:v>该条目可独立实现和验证；类型检查及对应测试通过；结果满足父任务验收标准。</x:v>
      </x:c>
      <x:c r="J98" s="13" t="str">
        <x:v>P2-BE-005-01</x:v>
      </x:c>
      <x:c r="K98" s="13" t="str">
        <x:v>待完成</x:v>
      </x:c>
      <x:c r="L98" s="13" t="str">
        <x:v>09-03～09-05</x:v>
      </x:c>
      <x:c r="M98" s="13" t="str">
        <x:v>—</x:v>
      </x:c>
      <x:c r="N98" s="13" t="str">
        <x:v>order id(UUID)+order_number(后端生成)；ledger_id(UUID)；Stripe session/payment/event ID；package/pricing version</x:v>
      </x:c>
      <x:c r="O98" s="13" t="str">
        <x:v>order: pending/paid/canceled/expired/failed/refunded；账本记录不可变，余额为快照</x:v>
      </x:c>
      <x:c r="P98" s="13" t="str">
        <x:v>套餐停用/改价、重复点击、Checkout失败、Webhook重复/乱序/伪造、金额币种不一致、退款争议</x:v>
      </x:c>
      <x:c r="Q98" s="13" t="str">
        <x:v>用户只读本人订单/账本；只有验签Webhook可入账；管理员调点需授权和审计</x:v>
      </x:c>
      <x:c r="R98" s="13" t="str">
        <x:v>(user_id,idempotency_key)防重复下单；Event ID去重；订单行锁原子入账；订单/账本进入个人数据导出</x:v>
      </x:c>
    </x:row>
    <x:row r="99" ht="72" customHeight="1">
      <x:c r="A99" s="13" t="str">
        <x:v>第 2 期</x:v>
      </x:c>
      <x:c r="B99" s="13" t="str">
        <x:v>4. 点数与商业化</x:v>
      </x:c>
      <x:c r="C99" s="13" t="str">
        <x:v>P2-BE-005</x:v>
      </x:c>
      <x:c r="D99" s="13" t="str">
        <x:v>状态与返还 / 部分成功处理</x:v>
      </x:c>
      <x:c r="E99" s="13" t="str">
        <x:v>P2-BE-005-03</x:v>
      </x:c>
      <x:c r="F99" s="13" t="str">
        <x:v>后端</x:v>
      </x:c>
      <x:c r="G99" s="13" t="str">
        <x:v>幂等账本</x:v>
      </x:c>
      <x:c r="H99" s="13" t="str">
        <x:v>幂等账本</x:v>
      </x:c>
      <x:c r="I99" s="13" t="str">
        <x:v>重复与并发请求不重复创建、扣点或入账；任一步失败可回滚并可安全重试。</x:v>
      </x:c>
      <x:c r="J99" s="13" t="str">
        <x:v>P2-BE-005-02</x:v>
      </x:c>
      <x:c r="K99" s="13" t="str">
        <x:v>待完成</x:v>
      </x:c>
      <x:c r="L99" s="13" t="str">
        <x:v>09-03～09-05</x:v>
      </x:c>
      <x:c r="M99" s="13" t="str">
        <x:v>—</x:v>
      </x:c>
      <x:c r="N99" s="13" t="str">
        <x:v>order id(UUID)+order_number(后端生成)；ledger_id(UUID)；Stripe session/payment/event ID；package/pricing version</x:v>
      </x:c>
      <x:c r="O99" s="13" t="str">
        <x:v>order: pending/paid/canceled/expired/failed/refunded；账本记录不可变，余额为快照</x:v>
      </x:c>
      <x:c r="P99" s="13" t="str">
        <x:v>套餐停用/改价、重复点击、Checkout失败、Webhook重复/乱序/伪造、金额币种不一致、退款争议</x:v>
      </x:c>
      <x:c r="Q99" s="13" t="str">
        <x:v>用户只读本人订单/账本；只有验签Webhook可入账；管理员调点需授权和审计</x:v>
      </x:c>
      <x:c r="R99" s="13" t="str">
        <x:v>(user_id,idempotency_key)防重复下单；Event ID去重；订单行锁原子入账；订单/账本进入个人数据导出</x:v>
      </x:c>
    </x:row>
    <x:row r="100" ht="72" customHeight="1">
      <x:c r="A100" s="13" t="str">
        <x:v>第 2 期</x:v>
      </x:c>
      <x:c r="B100" s="13" t="str">
        <x:v>3. 作品、预览与下载</x:v>
      </x:c>
      <x:c r="C100" s="13" t="str">
        <x:v>P2-BE-006</x:v>
      </x:c>
      <x:c r="D100" s="13" t="str">
        <x:v>作品 / 历史列表 API</x:v>
      </x:c>
      <x:c r="E100" s="13" t="str">
        <x:v>P2-BE-006-01</x:v>
      </x:c>
      <x:c r="F100" s="13" t="str">
        <x:v>后端</x:v>
      </x:c>
      <x:c r="G100" s="13" t="str">
        <x:v>用户自己的任务</x:v>
      </x:c>
      <x:c r="H100" s="13" t="str">
        <x:v>用户自己的任务</x:v>
      </x:c>
      <x:c r="I100" s="13" t="str">
        <x:v>该条目可独立实现和验证；类型检查及对应测试通过；结果满足父任务验收标准。</x:v>
      </x:c>
      <x:c r="J100" s="13" t="str">
        <x:v>P1-BE-013</x:v>
      </x:c>
      <x:c r="K100" s="13" t="str">
        <x:v>待完成</x:v>
      </x:c>
      <x:c r="L100" s="13" t="str">
        <x:v>09-04～09-06</x:v>
      </x:c>
      <x:c r="M100" s="13" t="str">
        <x:v>—</x:v>
      </x:c>
      <x:c r="N100" s="13" t="str">
        <x:v>job/variant/asset UUID；下载归档 archive_id(UUID)；归档键由用户+选择集+尺寸形成</x:v>
      </x:c>
      <x:c r="O100" s="13" t="str">
        <x:v>asset: available/expired；archive: queued/processing/ready/failed/expired</x:v>
      </x:c>
      <x:c r="P100" s="13" t="str">
        <x:v>未选择、资源未就绪、尺寸不存在、签名URL过期、资产已清理、归档部分失败</x:v>
      </x:c>
      <x:c r="Q100" s="13" t="str">
        <x:v>单图和ZIP均校验本人所有权；私有Bucket；短时签名URL</x:v>
      </x:c>
      <x:c r="R100" s="13" t="str">
        <x:v>相同选择集24小时内复用归档；作品30天、归档24小时；有效PNG进入删除账户导出</x:v>
      </x:c>
    </x:row>
    <x:row r="101" ht="72" customHeight="1">
      <x:c r="A101" s="13" t="str">
        <x:v>第 2 期</x:v>
      </x:c>
      <x:c r="B101" s="13" t="str">
        <x:v>3. 作品、预览与下载</x:v>
      </x:c>
      <x:c r="C101" s="13" t="str">
        <x:v>P2-BE-006</x:v>
      </x:c>
      <x:c r="D101" s="13" t="str">
        <x:v>作品 / 历史列表 API</x:v>
      </x:c>
      <x:c r="E101" s="13" t="str">
        <x:v>P2-BE-006-02</x:v>
      </x:c>
      <x:c r="F101" s="13" t="str">
        <x:v>后端</x:v>
      </x:c>
      <x:c r="G101" s="13" t="str">
        <x:v>历史列表 API：筛选</x:v>
      </x:c>
      <x:c r="H101" s="13" t="str">
        <x:v>历史列表 API：筛选</x:v>
      </x:c>
      <x:c r="I101" s="13" t="str">
        <x:v>请求、成功响应和稳定错误码均有测试；鉴权与越权场景通过；接口文档可供联调。</x:v>
      </x:c>
      <x:c r="J101" s="13" t="str">
        <x:v>P2-BE-006-01</x:v>
      </x:c>
      <x:c r="K101" s="13" t="str">
        <x:v>待完成</x:v>
      </x:c>
      <x:c r="L101" s="13" t="str">
        <x:v>09-04～09-06</x:v>
      </x:c>
      <x:c r="M101" s="13" t="str">
        <x:v>—</x:v>
      </x:c>
      <x:c r="N101" s="13" t="str">
        <x:v>job/variant/asset UUID；下载归档 archive_id(UUID)；归档键由用户+选择集+尺寸形成</x:v>
      </x:c>
      <x:c r="O101" s="13" t="str">
        <x:v>asset: available/expired；archive: queued/processing/ready/failed/expired</x:v>
      </x:c>
      <x:c r="P101" s="13" t="str">
        <x:v>未选择、资源未就绪、尺寸不存在、签名URL过期、资产已清理、归档部分失败</x:v>
      </x:c>
      <x:c r="Q101" s="13" t="str">
        <x:v>单图和ZIP均校验本人所有权；私有Bucket；短时签名URL</x:v>
      </x:c>
      <x:c r="R101" s="13" t="str">
        <x:v>相同选择集24小时内复用归档；作品30天、归档24小时；有效PNG进入删除账户导出</x:v>
      </x:c>
    </x:row>
    <x:row r="102" ht="72" customHeight="1">
      <x:c r="A102" s="13" t="str">
        <x:v>第 2 期</x:v>
      </x:c>
      <x:c r="B102" s="13" t="str">
        <x:v>3. 作品、预览与下载</x:v>
      </x:c>
      <x:c r="C102" s="13" t="str">
        <x:v>P2-BE-006</x:v>
      </x:c>
      <x:c r="D102" s="13" t="str">
        <x:v>作品 / 历史列表 API</x:v>
      </x:c>
      <x:c r="E102" s="13" t="str">
        <x:v>P2-BE-006-03</x:v>
      </x:c>
      <x:c r="F102" s="13" t="str">
        <x:v>后端</x:v>
      </x:c>
      <x:c r="G102" s="13" t="str">
        <x:v>历史列表 API：搜索</x:v>
      </x:c>
      <x:c r="H102" s="13" t="str">
        <x:v>历史列表 API：搜索</x:v>
      </x:c>
      <x:c r="I102" s="13" t="str">
        <x:v>请求、成功响应和稳定错误码均有测试；鉴权与越权场景通过；接口文档可供联调。</x:v>
      </x:c>
      <x:c r="J102" s="13" t="str">
        <x:v>P2-BE-006-02</x:v>
      </x:c>
      <x:c r="K102" s="13" t="str">
        <x:v>待完成</x:v>
      </x:c>
      <x:c r="L102" s="13" t="str">
        <x:v>09-04～09-06</x:v>
      </x:c>
      <x:c r="M102" s="13" t="str">
        <x:v>—</x:v>
      </x:c>
      <x:c r="N102" s="13" t="str">
        <x:v>job/variant/asset UUID；下载归档 archive_id(UUID)；归档键由用户+选择集+尺寸形成</x:v>
      </x:c>
      <x:c r="O102" s="13" t="str">
        <x:v>asset: available/expired；archive: queued/processing/ready/failed/expired</x:v>
      </x:c>
      <x:c r="P102" s="13" t="str">
        <x:v>未选择、资源未就绪、尺寸不存在、签名URL过期、资产已清理、归档部分失败</x:v>
      </x:c>
      <x:c r="Q102" s="13" t="str">
        <x:v>单图和ZIP均校验本人所有权；私有Bucket；短时签名URL</x:v>
      </x:c>
      <x:c r="R102" s="13" t="str">
        <x:v>相同选择集24小时内复用归档；作品30天、归档24小时；有效PNG进入删除账户导出</x:v>
      </x:c>
    </x:row>
    <x:row r="103" ht="72" customHeight="1">
      <x:c r="A103" s="13" t="str">
        <x:v>第 2 期</x:v>
      </x:c>
      <x:c r="B103" s="13" t="str">
        <x:v>3. 作品、预览与下载</x:v>
      </x:c>
      <x:c r="C103" s="13" t="str">
        <x:v>P2-BE-006</x:v>
      </x:c>
      <x:c r="D103" s="13" t="str">
        <x:v>作品 / 历史列表 API</x:v>
      </x:c>
      <x:c r="E103" s="13" t="str">
        <x:v>P2-BE-006-04</x:v>
      </x:c>
      <x:c r="F103" s="13" t="str">
        <x:v>后端</x:v>
      </x:c>
      <x:c r="G103" s="13" t="str">
        <x:v>历史列表 API：排序</x:v>
      </x:c>
      <x:c r="H103" s="13" t="str">
        <x:v>历史列表 API：排序</x:v>
      </x:c>
      <x:c r="I103" s="13" t="str">
        <x:v>请求、成功响应和稳定错误码均有测试；鉴权与越权场景通过；接口文档可供联调。</x:v>
      </x:c>
      <x:c r="J103" s="13" t="str">
        <x:v>P2-BE-006-03</x:v>
      </x:c>
      <x:c r="K103" s="13" t="str">
        <x:v>待完成</x:v>
      </x:c>
      <x:c r="L103" s="13" t="str">
        <x:v>09-04～09-06</x:v>
      </x:c>
      <x:c r="M103" s="13" t="str">
        <x:v>—</x:v>
      </x:c>
      <x:c r="N103" s="13" t="str">
        <x:v>job/variant/asset UUID；下载归档 archive_id(UUID)；归档键由用户+选择集+尺寸形成</x:v>
      </x:c>
      <x:c r="O103" s="13" t="str">
        <x:v>asset: available/expired；archive: queued/processing/ready/failed/expired</x:v>
      </x:c>
      <x:c r="P103" s="13" t="str">
        <x:v>未选择、资源未就绪、尺寸不存在、签名URL过期、资产已清理、归档部分失败</x:v>
      </x:c>
      <x:c r="Q103" s="13" t="str">
        <x:v>单图和ZIP均校验本人所有权；私有Bucket；短时签名URL</x:v>
      </x:c>
      <x:c r="R103" s="13" t="str">
        <x:v>相同选择集24小时内复用归档；作品30天、归档24小时；有效PNG进入删除账户导出</x:v>
      </x:c>
    </x:row>
    <x:row r="104" ht="72" customHeight="1">
      <x:c r="A104" s="13" t="str">
        <x:v>第 2 期</x:v>
      </x:c>
      <x:c r="B104" s="13" t="str">
        <x:v>3. 作品、预览与下载</x:v>
      </x:c>
      <x:c r="C104" s="13" t="str">
        <x:v>P2-BE-006</x:v>
      </x:c>
      <x:c r="D104" s="13" t="str">
        <x:v>作品 / 历史列表 API</x:v>
      </x:c>
      <x:c r="E104" s="13" t="str">
        <x:v>P2-BE-006-05</x:v>
      </x:c>
      <x:c r="F104" s="13" t="str">
        <x:v>后端</x:v>
      </x:c>
      <x:c r="G104" s="13" t="str">
        <x:v>历史列表 API：游标分页</x:v>
      </x:c>
      <x:c r="H104" s="13" t="str">
        <x:v>历史列表 API：游标分页</x:v>
      </x:c>
      <x:c r="I104" s="13" t="str">
        <x:v>请求、成功响应和稳定错误码均有测试；鉴权与越权场景通过；接口文档可供联调。</x:v>
      </x:c>
      <x:c r="J104" s="13" t="str">
        <x:v>P2-BE-006-04</x:v>
      </x:c>
      <x:c r="K104" s="13" t="str">
        <x:v>待完成</x:v>
      </x:c>
      <x:c r="L104" s="13" t="str">
        <x:v>09-04～09-06</x:v>
      </x:c>
      <x:c r="M104" s="13" t="str">
        <x:v>—</x:v>
      </x:c>
      <x:c r="N104" s="13" t="str">
        <x:v>job/variant/asset UUID；下载归档 archive_id(UUID)；归档键由用户+选择集+尺寸形成</x:v>
      </x:c>
      <x:c r="O104" s="13" t="str">
        <x:v>asset: available/expired；archive: queued/processing/ready/failed/expired</x:v>
      </x:c>
      <x:c r="P104" s="13" t="str">
        <x:v>未选择、资源未就绪、尺寸不存在、签名URL过期、资产已清理、归档部分失败</x:v>
      </x:c>
      <x:c r="Q104" s="13" t="str">
        <x:v>单图和ZIP均校验本人所有权；私有Bucket；短时签名URL</x:v>
      </x:c>
      <x:c r="R104" s="13" t="str">
        <x:v>相同选择集24小时内复用归档；作品30天、归档24小时；有效PNG进入删除账户导出</x:v>
      </x:c>
    </x:row>
    <x:row r="105" ht="72" customHeight="1">
      <x:c r="A105" s="13" t="str">
        <x:v>第 2 期</x:v>
      </x:c>
      <x:c r="B105" s="13" t="str">
        <x:v>3. 作品、预览与下载</x:v>
      </x:c>
      <x:c r="C105" s="13" t="str">
        <x:v>P2-BE-006</x:v>
      </x:c>
      <x:c r="D105" s="13" t="str">
        <x:v>作品 / 历史列表 API</x:v>
      </x:c>
      <x:c r="E105" s="13" t="str">
        <x:v>P2-BE-006-06</x:v>
      </x:c>
      <x:c r="F105" s="13" t="str">
        <x:v>后端</x:v>
      </x:c>
      <x:c r="G105" s="13" t="str">
        <x:v>历史列表 API：到期时间</x:v>
      </x:c>
      <x:c r="H105" s="13" t="str">
        <x:v>历史列表 API：到期时间</x:v>
      </x:c>
      <x:c r="I105" s="13" t="str">
        <x:v>请求、成功响应和稳定错误码均有测试；鉴权与越权场景通过；接口文档可供联调。</x:v>
      </x:c>
      <x:c r="J105" s="13" t="str">
        <x:v>P2-BE-006-05</x:v>
      </x:c>
      <x:c r="K105" s="13" t="str">
        <x:v>待完成</x:v>
      </x:c>
      <x:c r="L105" s="13" t="str">
        <x:v>09-04～09-06</x:v>
      </x:c>
      <x:c r="M105" s="13" t="str">
        <x:v>—</x:v>
      </x:c>
      <x:c r="N105" s="13" t="str">
        <x:v>job/variant/asset UUID；下载归档 archive_id(UUID)；归档键由用户+选择集+尺寸形成</x:v>
      </x:c>
      <x:c r="O105" s="13" t="str">
        <x:v>asset: available/expired；archive: queued/processing/ready/failed/expired</x:v>
      </x:c>
      <x:c r="P105" s="13" t="str">
        <x:v>未选择、资源未就绪、尺寸不存在、签名URL过期、资产已清理、归档部分失败</x:v>
      </x:c>
      <x:c r="Q105" s="13" t="str">
        <x:v>单图和ZIP均校验本人所有权；私有Bucket；短时签名URL</x:v>
      </x:c>
      <x:c r="R105" s="13" t="str">
        <x:v>相同选择集24小时内复用归档；作品30天、归档24小时；有效PNG进入删除账户导出</x:v>
      </x:c>
    </x:row>
    <x:row r="106" ht="72" customHeight="1">
      <x:c r="A106" s="13" t="str">
        <x:v>第 2 期</x:v>
      </x:c>
      <x:c r="B106" s="13" t="str">
        <x:v>3. 作品、预览与下载</x:v>
      </x:c>
      <x:c r="C106" s="13" t="str">
        <x:v>P2-BE-007</x:v>
      </x:c>
      <x:c r="D106" s="13" t="str">
        <x:v>单图下载 / 签名 PNG 下载接口</x:v>
      </x:c>
      <x:c r="E106" s="13" t="str">
        <x:v>P2-BE-007-01</x:v>
      </x:c>
      <x:c r="F106" s="13" t="str">
        <x:v>后端</x:v>
      </x:c>
      <x:c r="G106" s="13" t="str">
        <x:v>variant/尺寸/所有权校验</x:v>
      </x:c>
      <x:c r="H106" s="13" t="str">
        <x:v>variant/尺寸/所有权校验</x:v>
      </x:c>
      <x:c r="I106" s="13" t="str">
        <x:v>允许与拒绝场景均有自动化测试；敏感信息不进入浏览器、日志或导出文件。</x:v>
      </x:c>
      <x:c r="J106" s="13" t="str">
        <x:v>P2-BE-004</x:v>
      </x:c>
      <x:c r="K106" s="13" t="str">
        <x:v>待完成</x:v>
      </x:c>
      <x:c r="L106" s="13" t="str">
        <x:v>09-06～09-07</x:v>
      </x:c>
      <x:c r="M106" s="13" t="str">
        <x:v>—</x:v>
      </x:c>
      <x:c r="N106" s="13" t="str">
        <x:v>job/variant/asset UUID；下载归档 archive_id(UUID)；归档键由用户+选择集+尺寸形成</x:v>
      </x:c>
      <x:c r="O106" s="13" t="str">
        <x:v>asset: available/expired；archive: queued/processing/ready/failed/expired</x:v>
      </x:c>
      <x:c r="P106" s="13" t="str">
        <x:v>未选择、资源未就绪、尺寸不存在、签名URL过期、资产已清理、归档部分失败</x:v>
      </x:c>
      <x:c r="Q106" s="13" t="str">
        <x:v>单图和ZIP均校验本人所有权；私有Bucket；短时签名URL</x:v>
      </x:c>
      <x:c r="R106" s="13" t="str">
        <x:v>相同选择集24小时内复用归档；作品30天、归档24小时；有效PNG进入删除账户导出</x:v>
      </x:c>
    </x:row>
    <x:row r="107" ht="72" customHeight="1">
      <x:c r="A107" s="13" t="str">
        <x:v>第 2 期</x:v>
      </x:c>
      <x:c r="B107" s="13" t="str">
        <x:v>3. 作品、预览与下载</x:v>
      </x:c>
      <x:c r="C107" s="13" t="str">
        <x:v>P2-BE-007</x:v>
      </x:c>
      <x:c r="D107" s="13" t="str">
        <x:v>单图下载 / 签名 PNG 下载接口</x:v>
      </x:c>
      <x:c r="E107" s="13" t="str">
        <x:v>P2-BE-007-02</x:v>
      </x:c>
      <x:c r="F107" s="13" t="str">
        <x:v>后端</x:v>
      </x:c>
      <x:c r="G107" s="13" t="str">
        <x:v>短时 URL</x:v>
      </x:c>
      <x:c r="H107" s="13" t="str">
        <x:v>短时 URL</x:v>
      </x:c>
      <x:c r="I107" s="13" t="str">
        <x:v>该条目可独立实现和验证；类型检查及对应测试通过；结果满足父任务验收标准。</x:v>
      </x:c>
      <x:c r="J107" s="13" t="str">
        <x:v>P2-BE-007-01</x:v>
      </x:c>
      <x:c r="K107" s="13" t="str">
        <x:v>待完成</x:v>
      </x:c>
      <x:c r="L107" s="13" t="str">
        <x:v>09-06～09-07</x:v>
      </x:c>
      <x:c r="M107" s="13" t="str">
        <x:v>—</x:v>
      </x:c>
      <x:c r="N107" s="13" t="str">
        <x:v>job/variant/asset UUID；下载归档 archive_id(UUID)；归档键由用户+选择集+尺寸形成</x:v>
      </x:c>
      <x:c r="O107" s="13" t="str">
        <x:v>asset: available/expired；archive: queued/processing/ready/failed/expired</x:v>
      </x:c>
      <x:c r="P107" s="13" t="str">
        <x:v>未选择、资源未就绪、尺寸不存在、签名URL过期、资产已清理、归档部分失败</x:v>
      </x:c>
      <x:c r="Q107" s="13" t="str">
        <x:v>单图和ZIP均校验本人所有权；私有Bucket；短时签名URL</x:v>
      </x:c>
      <x:c r="R107" s="13" t="str">
        <x:v>相同选择集24小时内复用归档；作品30天、归档24小时；有效PNG进入删除账户导出</x:v>
      </x:c>
    </x:row>
    <x:row r="108" ht="72" customHeight="1">
      <x:c r="A108" s="13" t="str">
        <x:v>第 2 期</x:v>
      </x:c>
      <x:c r="B108" s="13" t="str">
        <x:v>3. 作品、预览与下载</x:v>
      </x:c>
      <x:c r="C108" s="13" t="str">
        <x:v>P2-BE-007</x:v>
      </x:c>
      <x:c r="D108" s="13" t="str">
        <x:v>单图下载 / 签名 PNG 下载接口</x:v>
      </x:c>
      <x:c r="E108" s="13" t="str">
        <x:v>P2-BE-007-03</x:v>
      </x:c>
      <x:c r="F108" s="13" t="str">
        <x:v>后端</x:v>
      </x:c>
      <x:c r="G108" s="13" t="str">
        <x:v>过期与未就绪错误</x:v>
      </x:c>
      <x:c r="H108" s="13" t="str">
        <x:v>过期与未就绪错误</x:v>
      </x:c>
      <x:c r="I108" s="13" t="str">
        <x:v>该条目可独立实现和验证；类型检查及对应测试通过；结果满足父任务验收标准。</x:v>
      </x:c>
      <x:c r="J108" s="13" t="str">
        <x:v>P2-BE-007-02</x:v>
      </x:c>
      <x:c r="K108" s="13" t="str">
        <x:v>待完成</x:v>
      </x:c>
      <x:c r="L108" s="13" t="str">
        <x:v>09-06～09-07</x:v>
      </x:c>
      <x:c r="M108" s="13" t="str">
        <x:v>—</x:v>
      </x:c>
      <x:c r="N108" s="13" t="str">
        <x:v>job/variant/asset UUID；下载归档 archive_id(UUID)；归档键由用户+选择集+尺寸形成</x:v>
      </x:c>
      <x:c r="O108" s="13" t="str">
        <x:v>asset: available/expired；archive: queued/processing/ready/failed/expired</x:v>
      </x:c>
      <x:c r="P108" s="13" t="str">
        <x:v>未选择、资源未就绪、尺寸不存在、签名URL过期、资产已清理、归档部分失败</x:v>
      </x:c>
      <x:c r="Q108" s="13" t="str">
        <x:v>单图和ZIP均校验本人所有权；私有Bucket；短时签名URL</x:v>
      </x:c>
      <x:c r="R108" s="13" t="str">
        <x:v>相同选择集24小时内复用归档；作品30天、归档24小时；有效PNG进入删除账户导出</x:v>
      </x:c>
    </x:row>
    <x:row r="109" ht="72" customHeight="1">
      <x:c r="A109" s="13" t="str">
        <x:v>第 2 期</x:v>
      </x:c>
      <x:c r="B109" s="13" t="str">
        <x:v>3. 作品、预览与下载</x:v>
      </x:c>
      <x:c r="C109" s="13" t="str">
        <x:v>P2-BE-008</x:v>
      </x:c>
      <x:c r="D109" s="13" t="str">
        <x:v>ZIP / 选中结果归档</x:v>
      </x:c>
      <x:c r="E109" s="13" t="str">
        <x:v>P2-BE-008-01</x:v>
      </x:c>
      <x:c r="F109" s="13" t="str">
        <x:v>后端</x:v>
      </x:c>
      <x:c r="G109" s="13" t="str">
        <x:v>resultIds+sizes 校验</x:v>
      </x:c>
      <x:c r="H109" s="13" t="str">
        <x:v>resultIds+sizes 校验</x:v>
      </x:c>
      <x:c r="I109" s="13" t="str">
        <x:v>该条目可独立实现和验证；类型检查及对应测试通过；结果满足父任务验收标准。</x:v>
      </x:c>
      <x:c r="J109" s="13" t="str">
        <x:v>P2-BE-004</x:v>
      </x:c>
      <x:c r="K109" s="13" t="str">
        <x:v>待完成</x:v>
      </x:c>
      <x:c r="L109" s="13" t="str">
        <x:v>09-07～09-09</x:v>
      </x:c>
      <x:c r="M109" s="13" t="str">
        <x:v>—</x:v>
      </x:c>
      <x:c r="N109" s="13" t="str">
        <x:v>job/variant/asset UUID；下载归档 archive_id(UUID)；归档键由用户+选择集+尺寸形成</x:v>
      </x:c>
      <x:c r="O109" s="13" t="str">
        <x:v>asset: available/expired；archive: queued/processing/ready/failed/expired</x:v>
      </x:c>
      <x:c r="P109" s="13" t="str">
        <x:v>未选择、资源未就绪、尺寸不存在、签名URL过期、资产已清理、归档部分失败</x:v>
      </x:c>
      <x:c r="Q109" s="13" t="str">
        <x:v>单图和ZIP均校验本人所有权；私有Bucket；短时签名URL</x:v>
      </x:c>
      <x:c r="R109" s="13" t="str">
        <x:v>相同选择集24小时内复用归档；作品30天、归档24小时；有效PNG进入删除账户导出</x:v>
      </x:c>
    </x:row>
    <x:row r="110" ht="72" customHeight="1">
      <x:c r="A110" s="13" t="str">
        <x:v>第 2 期</x:v>
      </x:c>
      <x:c r="B110" s="13" t="str">
        <x:v>3. 作品、预览与下载</x:v>
      </x:c>
      <x:c r="C110" s="13" t="str">
        <x:v>P2-BE-008</x:v>
      </x:c>
      <x:c r="D110" s="13" t="str">
        <x:v>ZIP / 选中结果归档</x:v>
      </x:c>
      <x:c r="E110" s="13" t="str">
        <x:v>P2-BE-008-02</x:v>
      </x:c>
      <x:c r="F110" s="13" t="str">
        <x:v>后端</x:v>
      </x:c>
      <x:c r="G110" s="13" t="str">
        <x:v>异步 ZIP</x:v>
      </x:c>
      <x:c r="H110" s="13" t="str">
        <x:v>异步 ZIP</x:v>
      </x:c>
      <x:c r="I110" s="13" t="str">
        <x:v>输出文件格式、数量、尺寸、透明/背景规则和所有权校验符合 PRD；失败可追踪。</x:v>
      </x:c>
      <x:c r="J110" s="13" t="str">
        <x:v>P2-BE-008-01</x:v>
      </x:c>
      <x:c r="K110" s="13" t="str">
        <x:v>待完成</x:v>
      </x:c>
      <x:c r="L110" s="13" t="str">
        <x:v>09-07～09-09</x:v>
      </x:c>
      <x:c r="M110" s="13" t="str">
        <x:v>—</x:v>
      </x:c>
      <x:c r="N110" s="13" t="str">
        <x:v>job/variant/asset UUID；下载归档 archive_id(UUID)；归档键由用户+选择集+尺寸形成</x:v>
      </x:c>
      <x:c r="O110" s="13" t="str">
        <x:v>asset: available/expired；archive: queued/processing/ready/failed/expired</x:v>
      </x:c>
      <x:c r="P110" s="13" t="str">
        <x:v>未选择、资源未就绪、尺寸不存在、签名URL过期、资产已清理、归档部分失败</x:v>
      </x:c>
      <x:c r="Q110" s="13" t="str">
        <x:v>单图和ZIP均校验本人所有权；私有Bucket；短时签名URL</x:v>
      </x:c>
      <x:c r="R110" s="13" t="str">
        <x:v>相同选择集24小时内复用归档；作品30天、归档24小时；有效PNG进入删除账户导出</x:v>
      </x:c>
    </x:row>
    <x:row r="111" ht="72" customHeight="1">
      <x:c r="A111" s="13" t="str">
        <x:v>第 2 期</x:v>
      </x:c>
      <x:c r="B111" s="13" t="str">
        <x:v>3. 作品、预览与下载</x:v>
      </x:c>
      <x:c r="C111" s="13" t="str">
        <x:v>P2-BE-008</x:v>
      </x:c>
      <x:c r="D111" s="13" t="str">
        <x:v>ZIP / 选中结果归档</x:v>
      </x:c>
      <x:c r="E111" s="13" t="str">
        <x:v>P2-BE-008-03</x:v>
      </x:c>
      <x:c r="F111" s="13" t="str">
        <x:v>后端</x:v>
      </x:c>
      <x:c r="G111" s="13" t="str">
        <x:v>目录结构</x:v>
      </x:c>
      <x:c r="H111" s="13" t="str">
        <x:v>目录结构</x:v>
      </x:c>
      <x:c r="I111" s="13" t="str">
        <x:v>该条目可独立实现和验证；类型检查及对应测试通过；结果满足父任务验收标准。</x:v>
      </x:c>
      <x:c r="J111" s="13" t="str">
        <x:v>P2-BE-008-02</x:v>
      </x:c>
      <x:c r="K111" s="13" t="str">
        <x:v>待完成</x:v>
      </x:c>
      <x:c r="L111" s="13" t="str">
        <x:v>09-07～09-09</x:v>
      </x:c>
      <x:c r="M111" s="13" t="str">
        <x:v>—</x:v>
      </x:c>
      <x:c r="N111" s="13" t="str">
        <x:v>job/variant/asset UUID；下载归档 archive_id(UUID)；归档键由用户+选择集+尺寸形成</x:v>
      </x:c>
      <x:c r="O111" s="13" t="str">
        <x:v>asset: available/expired；archive: queued/processing/ready/failed/expired</x:v>
      </x:c>
      <x:c r="P111" s="13" t="str">
        <x:v>未选择、资源未就绪、尺寸不存在、签名URL过期、资产已清理、归档部分失败</x:v>
      </x:c>
      <x:c r="Q111" s="13" t="str">
        <x:v>单图和ZIP均校验本人所有权；私有Bucket；短时签名URL</x:v>
      </x:c>
      <x:c r="R111" s="13" t="str">
        <x:v>相同选择集24小时内复用归档；作品30天、归档24小时；有效PNG进入删除账户导出</x:v>
      </x:c>
    </x:row>
    <x:row r="112" ht="72" customHeight="1">
      <x:c r="A112" s="13" t="str">
        <x:v>第 2 期</x:v>
      </x:c>
      <x:c r="B112" s="13" t="str">
        <x:v>3. 作品、预览与下载</x:v>
      </x:c>
      <x:c r="C112" s="13" t="str">
        <x:v>P2-BE-008</x:v>
      </x:c>
      <x:c r="D112" s="13" t="str">
        <x:v>ZIP / 选中结果归档</x:v>
      </x:c>
      <x:c r="E112" s="13" t="str">
        <x:v>P2-BE-008-04</x:v>
      </x:c>
      <x:c r="F112" s="13" t="str">
        <x:v>后端</x:v>
      </x:c>
      <x:c r="G112" s="13" t="str">
        <x:v>manifest</x:v>
      </x:c>
      <x:c r="H112" s="13" t="str">
        <x:v>manifest</x:v>
      </x:c>
      <x:c r="I112" s="13" t="str">
        <x:v>该条目可独立实现和验证；类型检查及对应测试通过；结果满足父任务验收标准。</x:v>
      </x:c>
      <x:c r="J112" s="13" t="str">
        <x:v>P2-BE-008-03</x:v>
      </x:c>
      <x:c r="K112" s="13" t="str">
        <x:v>待完成</x:v>
      </x:c>
      <x:c r="L112" s="13" t="str">
        <x:v>09-07～09-09</x:v>
      </x:c>
      <x:c r="M112" s="13" t="str">
        <x:v>—</x:v>
      </x:c>
      <x:c r="N112" s="13" t="str">
        <x:v>job/variant/asset UUID；下载归档 archive_id(UUID)；归档键由用户+选择集+尺寸形成</x:v>
      </x:c>
      <x:c r="O112" s="13" t="str">
        <x:v>asset: available/expired；archive: queued/processing/ready/failed/expired</x:v>
      </x:c>
      <x:c r="P112" s="13" t="str">
        <x:v>未选择、资源未就绪、尺寸不存在、签名URL过期、资产已清理、归档部分失败</x:v>
      </x:c>
      <x:c r="Q112" s="13" t="str">
        <x:v>单图和ZIP均校验本人所有权；私有Bucket；短时签名URL</x:v>
      </x:c>
      <x:c r="R112" s="13" t="str">
        <x:v>相同选择集24小时内复用归档；作品30天、归档24小时；有效PNG进入删除账户导出</x:v>
      </x:c>
    </x:row>
    <x:row r="113" ht="72" customHeight="1">
      <x:c r="A113" s="13" t="str">
        <x:v>第 2 期</x:v>
      </x:c>
      <x:c r="B113" s="13" t="str">
        <x:v>3. 作品、预览与下载</x:v>
      </x:c>
      <x:c r="C113" s="13" t="str">
        <x:v>P2-BE-008</x:v>
      </x:c>
      <x:c r="D113" s="13" t="str">
        <x:v>ZIP / 选中结果归档</x:v>
      </x:c>
      <x:c r="E113" s="13" t="str">
        <x:v>P2-BE-008-05</x:v>
      </x:c>
      <x:c r="F113" s="13" t="str">
        <x:v>后端</x:v>
      </x:c>
      <x:c r="G113" s="13" t="str">
        <x:v>24 小时复用</x:v>
      </x:c>
      <x:c r="H113" s="13" t="str">
        <x:v>24 小时复用</x:v>
      </x:c>
      <x:c r="I113" s="13" t="str">
        <x:v>该条目可独立实现和验证；类型检查及对应测试通过；结果满足父任务验收标准。</x:v>
      </x:c>
      <x:c r="J113" s="13" t="str">
        <x:v>P2-BE-008-04</x:v>
      </x:c>
      <x:c r="K113" s="13" t="str">
        <x:v>待完成</x:v>
      </x:c>
      <x:c r="L113" s="13" t="str">
        <x:v>09-07～09-09</x:v>
      </x:c>
      <x:c r="M113" s="13" t="str">
        <x:v>—</x:v>
      </x:c>
      <x:c r="N113" s="13" t="str">
        <x:v>job/variant/asset UUID；下载归档 archive_id(UUID)；归档键由用户+选择集+尺寸形成</x:v>
      </x:c>
      <x:c r="O113" s="13" t="str">
        <x:v>asset: available/expired；archive: queued/processing/ready/failed/expired</x:v>
      </x:c>
      <x:c r="P113" s="13" t="str">
        <x:v>未选择、资源未就绪、尺寸不存在、签名URL过期、资产已清理、归档部分失败</x:v>
      </x:c>
      <x:c r="Q113" s="13" t="str">
        <x:v>单图和ZIP均校验本人所有权；私有Bucket；短时签名URL</x:v>
      </x:c>
      <x:c r="R113" s="13" t="str">
        <x:v>相同选择集24小时内复用归档；作品30天、归档24小时；有效PNG进入删除账户导出</x:v>
      </x:c>
    </x:row>
    <x:row r="114" ht="72" customHeight="1">
      <x:c r="A114" s="13" t="str">
        <x:v>第 2 期</x:v>
      </x:c>
      <x:c r="B114" s="13" t="str">
        <x:v>3. 作品、预览与下载</x:v>
      </x:c>
      <x:c r="C114" s="13" t="str">
        <x:v>P2-BE-009</x:v>
      </x:c>
      <x:c r="D114" s="13" t="str">
        <x:v>生命周期 / 30 天资产清理</x:v>
      </x:c>
      <x:c r="E114" s="13" t="str">
        <x:v>P2-BE-009-01</x:v>
      </x:c>
      <x:c r="F114" s="13" t="str">
        <x:v>后端</x:v>
      </x:c>
      <x:c r="G114" s="13" t="str">
        <x:v>30 天资产清理：到期扫描</x:v>
      </x:c>
      <x:c r="H114" s="13" t="str">
        <x:v>30 天资产清理：到期扫描</x:v>
      </x:c>
      <x:c r="I114" s="13" t="str">
        <x:v>该条目可独立实现和验证；类型检查及对应测试通过；结果满足父任务验收标准。</x:v>
      </x:c>
      <x:c r="J114" s="13" t="str">
        <x:v>—</x:v>
      </x:c>
      <x:c r="K114" s="13" t="str">
        <x:v>待完成</x:v>
      </x:c>
      <x:c r="L114" s="13" t="str">
        <x:v>09-09～09-10</x:v>
      </x:c>
      <x:c r="M114" s="13" t="str">
        <x:v>—</x:v>
      </x:c>
      <x:c r="N114" s="13" t="str">
        <x:v>job/variant/asset UUID；下载归档 archive_id(UUID)；归档键由用户+选择集+尺寸形成</x:v>
      </x:c>
      <x:c r="O114" s="13" t="str">
        <x:v>asset: available/expired；archive: queued/processing/ready/failed/expired</x:v>
      </x:c>
      <x:c r="P114" s="13" t="str">
        <x:v>未选择、资源未就绪、尺寸不存在、签名URL过期、资产已清理、归档部分失败</x:v>
      </x:c>
      <x:c r="Q114" s="13" t="str">
        <x:v>单图和ZIP均校验本人所有权；私有Bucket；短时签名URL</x:v>
      </x:c>
      <x:c r="R114" s="13" t="str">
        <x:v>相同选择集24小时内复用归档；作品30天、归档24小时；有效PNG进入删除账户导出</x:v>
      </x:c>
    </x:row>
    <x:row r="115" ht="72" customHeight="1">
      <x:c r="A115" s="13" t="str">
        <x:v>第 2 期</x:v>
      </x:c>
      <x:c r="B115" s="13" t="str">
        <x:v>3. 作品、预览与下载</x:v>
      </x:c>
      <x:c r="C115" s="13" t="str">
        <x:v>P2-BE-009</x:v>
      </x:c>
      <x:c r="D115" s="13" t="str">
        <x:v>生命周期 / 30 天资产清理</x:v>
      </x:c>
      <x:c r="E115" s="13" t="str">
        <x:v>P2-BE-009-02</x:v>
      </x:c>
      <x:c r="F115" s="13" t="str">
        <x:v>后端</x:v>
      </x:c>
      <x:c r="G115" s="13" t="str">
        <x:v>30 天资产清理：删除母版/派生图/临时 ZIP</x:v>
      </x:c>
      <x:c r="H115" s="13" t="str">
        <x:v>30 天资产清理：删除母版/派生图/临时 ZIP</x:v>
      </x:c>
      <x:c r="I115" s="13" t="str">
        <x:v>输出文件格式、数量、尺寸、透明/背景规则和所有权校验符合 PRD；失败可追踪。</x:v>
      </x:c>
      <x:c r="J115" s="13" t="str">
        <x:v>P2-BE-009-01</x:v>
      </x:c>
      <x:c r="K115" s="13" t="str">
        <x:v>待完成</x:v>
      </x:c>
      <x:c r="L115" s="13" t="str">
        <x:v>09-09～09-10</x:v>
      </x:c>
      <x:c r="M115" s="13" t="str">
        <x:v>—</x:v>
      </x:c>
      <x:c r="N115" s="13" t="str">
        <x:v>job/variant/asset UUID；下载归档 archive_id(UUID)；归档键由用户+选择集+尺寸形成</x:v>
      </x:c>
      <x:c r="O115" s="13" t="str">
        <x:v>asset: available/expired；archive: queued/processing/ready/failed/expired</x:v>
      </x:c>
      <x:c r="P115" s="13" t="str">
        <x:v>未选择、资源未就绪、尺寸不存在、签名URL过期、资产已清理、归档部分失败</x:v>
      </x:c>
      <x:c r="Q115" s="13" t="str">
        <x:v>单图和ZIP均校验本人所有权；私有Bucket；短时签名URL</x:v>
      </x:c>
      <x:c r="R115" s="13" t="str">
        <x:v>相同选择集24小时内复用归档；作品30天、归档24小时；有效PNG进入删除账户导出</x:v>
      </x:c>
    </x:row>
    <x:row r="116" ht="72" customHeight="1">
      <x:c r="A116" s="13" t="str">
        <x:v>第 2 期</x:v>
      </x:c>
      <x:c r="B116" s="13" t="str">
        <x:v>3. 作品、预览与下载</x:v>
      </x:c>
      <x:c r="C116" s="13" t="str">
        <x:v>P2-BE-009</x:v>
      </x:c>
      <x:c r="D116" s="13" t="str">
        <x:v>生命周期 / 30 天资产清理</x:v>
      </x:c>
      <x:c r="E116" s="13" t="str">
        <x:v>P2-BE-009-03</x:v>
      </x:c>
      <x:c r="F116" s="13" t="str">
        <x:v>后端</x:v>
      </x:c>
      <x:c r="G116" s="13" t="str">
        <x:v>30 天资产清理：保留脱敏资金引用</x:v>
      </x:c>
      <x:c r="H116" s="13" t="str">
        <x:v>30 天资产清理：保留脱敏资金引用</x:v>
      </x:c>
      <x:c r="I116" s="13" t="str">
        <x:v>该条目可独立实现和验证；类型检查及对应测试通过；结果满足父任务验收标准。</x:v>
      </x:c>
      <x:c r="J116" s="13" t="str">
        <x:v>P2-BE-009-02</x:v>
      </x:c>
      <x:c r="K116" s="13" t="str">
        <x:v>待完成</x:v>
      </x:c>
      <x:c r="L116" s="13" t="str">
        <x:v>09-09～09-10</x:v>
      </x:c>
      <x:c r="M116" s="13" t="str">
        <x:v>—</x:v>
      </x:c>
      <x:c r="N116" s="13" t="str">
        <x:v>job/variant/asset UUID；下载归档 archive_id(UUID)；归档键由用户+选择集+尺寸形成</x:v>
      </x:c>
      <x:c r="O116" s="13" t="str">
        <x:v>asset: available/expired；archive: queued/processing/ready/failed/expired</x:v>
      </x:c>
      <x:c r="P116" s="13" t="str">
        <x:v>未选择、资源未就绪、尺寸不存在、签名URL过期、资产已清理、归档部分失败</x:v>
      </x:c>
      <x:c r="Q116" s="13" t="str">
        <x:v>单图和ZIP均校验本人所有权；私有Bucket；短时签名URL</x:v>
      </x:c>
      <x:c r="R116" s="13" t="str">
        <x:v>相同选择集24小时内复用归档；作品30天、归档24小时；有效PNG进入删除账户导出</x:v>
      </x:c>
    </x:row>
    <x:row r="117" ht="72" customHeight="1">
      <x:c r="A117" s="13" t="str">
        <x:v>第 2 期</x:v>
      </x:c>
      <x:c r="B117" s="13" t="str">
        <x:v>2. 图标设计与生成</x:v>
      </x:c>
      <x:c r="C117" s="13" t="str">
        <x:v>P2-BE-010</x:v>
      </x:c>
      <x:c r="D117" s="13" t="str">
        <x:v>可观测性 / 生成链路日志与告警</x:v>
      </x:c>
      <x:c r="E117" s="13" t="str">
        <x:v>P2-BE-010-01</x:v>
      </x:c>
      <x:c r="F117" s="13" t="str">
        <x:v>后端</x:v>
      </x:c>
      <x:c r="G117" s="13" t="str">
        <x:v>生成链路日志与告警：任务/主体/variant 耗时</x:v>
      </x:c>
      <x:c r="H117" s="13" t="str">
        <x:v>生成链路日志与告警：任务/主体/variant 耗时</x:v>
      </x:c>
      <x:c r="I117" s="13" t="str">
        <x:v>该条目可独立实现和验证；类型检查及对应测试通过；结果满足父任务验收标准。</x:v>
      </x:c>
      <x:c r="J117" s="13" t="str">
        <x:v>—</x:v>
      </x:c>
      <x:c r="K117" s="13" t="str">
        <x:v>待完成</x:v>
      </x:c>
      <x:c r="L117" s="13" t="str">
        <x:v>09-10～09-11</x:v>
      </x:c>
      <x:c r="M117" s="13" t="str">
        <x:v>—</x:v>
      </x:c>
      <x:c r="N117" s="13" t="str">
        <x:v>job_id、subject_id、variant_id、asset_id 均为UUID；创建请求另带 idempotency_key；记录 settings/skill/model 版本</x:v>
      </x:c>
      <x:c r="O117" s="13" t="str">
        <x:v>job: queued/processing/completed/partial/failed；variant: queued/processing/completed/failed</x:v>
      </x:c>
      <x:c r="P117" s="13" t="str">
        <x:v>1–20主体、每主体3方案、余额不足、内容拦截、模型超时、部分成功、刷新恢复</x:v>
      </x:c>
      <x:c r="Q117" s="13" t="str">
        <x:v>仅本人查看任务与结果；Worker 使用服务端权限；平台API Key不下发前端</x:v>
      </x:c>
      <x:c r="R117" s="13" t="str">
        <x:v>创建+扣点同事务；每用户1个活动任务；队列重投跳过已完成variant；图片保留30天</x:v>
      </x:c>
    </x:row>
    <x:row r="118" ht="72" customHeight="1">
      <x:c r="A118" s="13" t="str">
        <x:v>第 2 期</x:v>
      </x:c>
      <x:c r="B118" s="13" t="str">
        <x:v>2. 图标设计与生成</x:v>
      </x:c>
      <x:c r="C118" s="13" t="str">
        <x:v>P2-BE-010</x:v>
      </x:c>
      <x:c r="D118" s="13" t="str">
        <x:v>可观测性 / 生成链路日志与告警</x:v>
      </x:c>
      <x:c r="E118" s="13" t="str">
        <x:v>P2-BE-010-02</x:v>
      </x:c>
      <x:c r="F118" s="13" t="str">
        <x:v>后端</x:v>
      </x:c>
      <x:c r="G118" s="13" t="str">
        <x:v>生成链路日志与告警：错误码</x:v>
      </x:c>
      <x:c r="H118" s="13" t="str">
        <x:v>生成链路日志与告警：错误码</x:v>
      </x:c>
      <x:c r="I118" s="13" t="str">
        <x:v>该条目可独立实现和验证；类型检查及对应测试通过；结果满足父任务验收标准。</x:v>
      </x:c>
      <x:c r="J118" s="13" t="str">
        <x:v>P2-BE-010-01</x:v>
      </x:c>
      <x:c r="K118" s="13" t="str">
        <x:v>待完成</x:v>
      </x:c>
      <x:c r="L118" s="13" t="str">
        <x:v>09-10～09-11</x:v>
      </x:c>
      <x:c r="M118" s="13" t="str">
        <x:v>—</x:v>
      </x:c>
      <x:c r="N118" s="13" t="str">
        <x:v>job_id、subject_id、variant_id、asset_id 均为UUID；创建请求另带 idempotency_key；记录 settings/skill/model 版本</x:v>
      </x:c>
      <x:c r="O118" s="13" t="str">
        <x:v>job: queued/processing/completed/partial/failed；variant: queued/processing/completed/failed</x:v>
      </x:c>
      <x:c r="P118" s="13" t="str">
        <x:v>1–20主体、每主体3方案、余额不足、内容拦截、模型超时、部分成功、刷新恢复</x:v>
      </x:c>
      <x:c r="Q118" s="13" t="str">
        <x:v>仅本人查看任务与结果；Worker 使用服务端权限；平台API Key不下发前端</x:v>
      </x:c>
      <x:c r="R118" s="13" t="str">
        <x:v>创建+扣点同事务；每用户1个活动任务；队列重投跳过已完成variant；图片保留30天</x:v>
      </x:c>
    </x:row>
    <x:row r="119" ht="72" customHeight="1">
      <x:c r="A119" s="13" t="str">
        <x:v>第 2 期</x:v>
      </x:c>
      <x:c r="B119" s="13" t="str">
        <x:v>2. 图标设计与生成</x:v>
      </x:c>
      <x:c r="C119" s="13" t="str">
        <x:v>P2-BE-010</x:v>
      </x:c>
      <x:c r="D119" s="13" t="str">
        <x:v>可观测性 / 生成链路日志与告警</x:v>
      </x:c>
      <x:c r="E119" s="13" t="str">
        <x:v>P2-BE-010-03</x:v>
      </x:c>
      <x:c r="F119" s="13" t="str">
        <x:v>后端</x:v>
      </x:c>
      <x:c r="G119" s="13" t="str">
        <x:v>生成链路日志与告警：DLQ</x:v>
      </x:c>
      <x:c r="H119" s="13" t="str">
        <x:v>生成链路日志与告警：DLQ</x:v>
      </x:c>
      <x:c r="I119" s="13" t="str">
        <x:v>该条目可独立实现和验证；类型检查及对应测试通过；结果满足父任务验收标准。</x:v>
      </x:c>
      <x:c r="J119" s="13" t="str">
        <x:v>P2-BE-010-02</x:v>
      </x:c>
      <x:c r="K119" s="13" t="str">
        <x:v>待完成</x:v>
      </x:c>
      <x:c r="L119" s="13" t="str">
        <x:v>09-10～09-11</x:v>
      </x:c>
      <x:c r="M119" s="13" t="str">
        <x:v>—</x:v>
      </x:c>
      <x:c r="N119" s="13" t="str">
        <x:v>job_id、subject_id、variant_id、asset_id 均为UUID；创建请求另带 idempotency_key；记录 settings/skill/model 版本</x:v>
      </x:c>
      <x:c r="O119" s="13" t="str">
        <x:v>job: queued/processing/completed/partial/failed；variant: queued/processing/completed/failed</x:v>
      </x:c>
      <x:c r="P119" s="13" t="str">
        <x:v>1–20主体、每主体3方案、余额不足、内容拦截、模型超时、部分成功、刷新恢复</x:v>
      </x:c>
      <x:c r="Q119" s="13" t="str">
        <x:v>仅本人查看任务与结果；Worker 使用服务端权限；平台API Key不下发前端</x:v>
      </x:c>
      <x:c r="R119" s="13" t="str">
        <x:v>创建+扣点同事务；每用户1个活动任务；队列重投跳过已完成variant；图片保留30天</x:v>
      </x:c>
    </x:row>
    <x:row r="120" ht="72" customHeight="1">
      <x:c r="A120" s="13" t="str">
        <x:v>第 2 期</x:v>
      </x:c>
      <x:c r="B120" s="13" t="str">
        <x:v>2. 图标设计与生成</x:v>
      </x:c>
      <x:c r="C120" s="13" t="str">
        <x:v>P2-BE-010</x:v>
      </x:c>
      <x:c r="D120" s="13" t="str">
        <x:v>可观测性 / 生成链路日志与告警</x:v>
      </x:c>
      <x:c r="E120" s="13" t="str">
        <x:v>P2-BE-010-04</x:v>
      </x:c>
      <x:c r="F120" s="13" t="str">
        <x:v>后端</x:v>
      </x:c>
      <x:c r="G120" s="13" t="str">
        <x:v>生成链路日志与告警：无敏感 Prompt/Key</x:v>
      </x:c>
      <x:c r="H120" s="13" t="str">
        <x:v>生成链路日志与告警：无敏感 Prompt/Key</x:v>
      </x:c>
      <x:c r="I120" s="13" t="str">
        <x:v>该条目可独立实现和验证；类型检查及对应测试通过；结果满足父任务验收标准。</x:v>
      </x:c>
      <x:c r="J120" s="13" t="str">
        <x:v>P2-BE-010-03</x:v>
      </x:c>
      <x:c r="K120" s="13" t="str">
        <x:v>待完成</x:v>
      </x:c>
      <x:c r="L120" s="13" t="str">
        <x:v>09-10～09-11</x:v>
      </x:c>
      <x:c r="M120" s="13" t="str">
        <x:v>—</x:v>
      </x:c>
      <x:c r="N120" s="13" t="str">
        <x:v>job_id、subject_id、variant_id、asset_id 均为UUID；创建请求另带 idempotency_key；记录 settings/skill/model 版本</x:v>
      </x:c>
      <x:c r="O120" s="13" t="str">
        <x:v>job: queued/processing/completed/partial/failed；variant: queued/processing/completed/failed</x:v>
      </x:c>
      <x:c r="P120" s="13" t="str">
        <x:v>1–20主体、每主体3方案、余额不足、内容拦截、模型超时、部分成功、刷新恢复</x:v>
      </x:c>
      <x:c r="Q120" s="13" t="str">
        <x:v>仅本人查看任务与结果；Worker 使用服务端权限；平台API Key不下发前端</x:v>
      </x:c>
      <x:c r="R120" s="13" t="str">
        <x:v>创建+扣点同事务；每用户1个活动任务；队列重投跳过已完成variant；图片保留30天</x:v>
      </x:c>
    </x:row>
    <x:row r="121" ht="72" customHeight="1">
      <x:c r="A121" s="13" t="str">
        <x:v>第 2 期</x:v>
      </x:c>
      <x:c r="B121" s="13" t="str">
        <x:v>2. 图标设计与生成</x:v>
      </x:c>
      <x:c r="C121" s="13" t="str">
        <x:v>P2-QA-001</x:v>
      </x:c>
      <x:c r="D121" s="13" t="str">
        <x:v>验收 / 真实生成与下载测试</x:v>
      </x:c>
      <x:c r="E121" s="13" t="str">
        <x:v>P2-QA-001-01</x:v>
      </x:c>
      <x:c r="F121" s="13" t="str">
        <x:v>后端（共享任务）</x:v>
      </x:c>
      <x:c r="G121" s="13" t="str">
        <x:v>5 主体→15 槽位</x:v>
      </x:c>
      <x:c r="H121" s="13" t="str">
        <x:v>5 主体→15 槽位</x:v>
      </x:c>
      <x:c r="I121" s="13" t="str">
        <x:v>该条目可独立实现和验证；类型检查及对应测试通过；结果满足父任务验收标准。</x:v>
      </x:c>
      <x:c r="J121" s="13" t="str">
        <x:v>—</x:v>
      </x:c>
      <x:c r="K121" s="13" t="str">
        <x:v>待完成</x:v>
      </x:c>
      <x:c r="L121" s="13" t="str">
        <x:v>09-12～09-13</x:v>
      </x:c>
      <x:c r="M121" s="13" t="str">
        <x:v>—</x:v>
      </x:c>
      <x:c r="N121" s="13" t="str">
        <x:v>job_id、subject_id、variant_id、asset_id 均为UUID；创建请求另带 idempotency_key；记录 settings/skill/model 版本</x:v>
      </x:c>
      <x:c r="O121" s="13" t="str">
        <x:v>job: queued/processing/completed/partial/failed；variant: queued/processing/completed/failed</x:v>
      </x:c>
      <x:c r="P121" s="13" t="str">
        <x:v>1–20主体、每主体3方案、余额不足、内容拦截、模型超时、部分成功、刷新恢复</x:v>
      </x:c>
      <x:c r="Q121" s="13" t="str">
        <x:v>仅本人查看任务与结果；Worker 使用服务端权限；平台API Key不下发前端</x:v>
      </x:c>
      <x:c r="R121" s="13" t="str">
        <x:v>创建+扣点同事务；每用户1个活动任务；队列重投跳过已完成variant；图片保留30天</x:v>
      </x:c>
    </x:row>
    <x:row r="122" ht="72" customHeight="1">
      <x:c r="A122" s="13" t="str">
        <x:v>第 2 期</x:v>
      </x:c>
      <x:c r="B122" s="13" t="str">
        <x:v>2. 图标设计与生成</x:v>
      </x:c>
      <x:c r="C122" s="13" t="str">
        <x:v>P2-QA-001</x:v>
      </x:c>
      <x:c r="D122" s="13" t="str">
        <x:v>验收 / 真实生成与下载测试</x:v>
      </x:c>
      <x:c r="E122" s="13" t="str">
        <x:v>P2-QA-001-02</x:v>
      </x:c>
      <x:c r="F122" s="13" t="str">
        <x:v>后端（共享任务）</x:v>
      </x:c>
      <x:c r="G122" s="13" t="str">
        <x:v>透明/有背景</x:v>
      </x:c>
      <x:c r="H122" s="13" t="str">
        <x:v>透明/有背景</x:v>
      </x:c>
      <x:c r="I122" s="13" t="str">
        <x:v>输出文件格式、数量、尺寸、透明/背景规则和所有权校验符合 PRD；失败可追踪。</x:v>
      </x:c>
      <x:c r="J122" s="13" t="str">
        <x:v>P2-QA-001-01</x:v>
      </x:c>
      <x:c r="K122" s="13" t="str">
        <x:v>待完成</x:v>
      </x:c>
      <x:c r="L122" s="13" t="str">
        <x:v>09-12～09-13</x:v>
      </x:c>
      <x:c r="M122" s="13" t="str">
        <x:v>—</x:v>
      </x:c>
      <x:c r="N122" s="13" t="str">
        <x:v>job_id、subject_id、variant_id、asset_id 均为UUID；创建请求另带 idempotency_key；记录 settings/skill/model 版本</x:v>
      </x:c>
      <x:c r="O122" s="13" t="str">
        <x:v>job: queued/processing/completed/partial/failed；variant: queued/processing/completed/failed</x:v>
      </x:c>
      <x:c r="P122" s="13" t="str">
        <x:v>1–20主体、每主体3方案、余额不足、内容拦截、模型超时、部分成功、刷新恢复</x:v>
      </x:c>
      <x:c r="Q122" s="13" t="str">
        <x:v>仅本人查看任务与结果；Worker 使用服务端权限；平台API Key不下发前端</x:v>
      </x:c>
      <x:c r="R122" s="13" t="str">
        <x:v>创建+扣点同事务；每用户1个活动任务；队列重投跳过已完成variant；图片保留30天</x:v>
      </x:c>
    </x:row>
    <x:row r="123" ht="72" customHeight="1">
      <x:c r="A123" s="13" t="str">
        <x:v>第 2 期</x:v>
      </x:c>
      <x:c r="B123" s="13" t="str">
        <x:v>2. 图标设计与生成</x:v>
      </x:c>
      <x:c r="C123" s="13" t="str">
        <x:v>P2-QA-001</x:v>
      </x:c>
      <x:c r="D123" s="13" t="str">
        <x:v>验收 / 真实生成与下载测试</x:v>
      </x:c>
      <x:c r="E123" s="13" t="str">
        <x:v>P2-QA-001-03</x:v>
      </x:c>
      <x:c r="F123" s="13" t="str">
        <x:v>后端（共享任务）</x:v>
      </x:c>
      <x:c r="G123" s="13" t="str">
        <x:v>尺寸</x:v>
      </x:c>
      <x:c r="H123" s="13" t="str">
        <x:v>尺寸</x:v>
      </x:c>
      <x:c r="I123" s="13" t="str">
        <x:v>输出文件格式、数量、尺寸、透明/背景规则和所有权校验符合 PRD；失败可追踪。</x:v>
      </x:c>
      <x:c r="J123" s="13" t="str">
        <x:v>P2-QA-001-02</x:v>
      </x:c>
      <x:c r="K123" s="13" t="str">
        <x:v>待完成</x:v>
      </x:c>
      <x:c r="L123" s="13" t="str">
        <x:v>09-12～09-13</x:v>
      </x:c>
      <x:c r="M123" s="13" t="str">
        <x:v>—</x:v>
      </x:c>
      <x:c r="N123" s="13" t="str">
        <x:v>job_id、subject_id、variant_id、asset_id 均为UUID；创建请求另带 idempotency_key；记录 settings/skill/model 版本</x:v>
      </x:c>
      <x:c r="O123" s="13" t="str">
        <x:v>job: queued/processing/completed/partial/failed；variant: queued/processing/completed/failed</x:v>
      </x:c>
      <x:c r="P123" s="13" t="str">
        <x:v>1–20主体、每主体3方案、余额不足、内容拦截、模型超时、部分成功、刷新恢复</x:v>
      </x:c>
      <x:c r="Q123" s="13" t="str">
        <x:v>仅本人查看任务与结果；Worker 使用服务端权限；平台API Key不下发前端</x:v>
      </x:c>
      <x:c r="R123" s="13" t="str">
        <x:v>创建+扣点同事务；每用户1个活动任务；队列重投跳过已完成variant；图片保留30天</x:v>
      </x:c>
    </x:row>
    <x:row r="124" ht="72" customHeight="1">
      <x:c r="A124" s="13" t="str">
        <x:v>第 2 期</x:v>
      </x:c>
      <x:c r="B124" s="13" t="str">
        <x:v>2. 图标设计与生成</x:v>
      </x:c>
      <x:c r="C124" s="13" t="str">
        <x:v>P2-QA-001</x:v>
      </x:c>
      <x:c r="D124" s="13" t="str">
        <x:v>验收 / 真实生成与下载测试</x:v>
      </x:c>
      <x:c r="E124" s="13" t="str">
        <x:v>P2-QA-001-04</x:v>
      </x:c>
      <x:c r="F124" s="13" t="str">
        <x:v>后端（共享任务）</x:v>
      </x:c>
      <x:c r="G124" s="13" t="str">
        <x:v>单图</x:v>
      </x:c>
      <x:c r="H124" s="13" t="str">
        <x:v>单图</x:v>
      </x:c>
      <x:c r="I124" s="13" t="str">
        <x:v>该条目可独立实现和验证；类型检查及对应测试通过；结果满足父任务验收标准。</x:v>
      </x:c>
      <x:c r="J124" s="13" t="str">
        <x:v>P2-QA-001-03</x:v>
      </x:c>
      <x:c r="K124" s="13" t="str">
        <x:v>待完成</x:v>
      </x:c>
      <x:c r="L124" s="13" t="str">
        <x:v>09-12～09-13</x:v>
      </x:c>
      <x:c r="M124" s="13" t="str">
        <x:v>—</x:v>
      </x:c>
      <x:c r="N124" s="13" t="str">
        <x:v>job_id、subject_id、variant_id、asset_id 均为UUID；创建请求另带 idempotency_key；记录 settings/skill/model 版本</x:v>
      </x:c>
      <x:c r="O124" s="13" t="str">
        <x:v>job: queued/processing/completed/partial/failed；variant: queued/processing/completed/failed</x:v>
      </x:c>
      <x:c r="P124" s="13" t="str">
        <x:v>1–20主体、每主体3方案、余额不足、内容拦截、模型超时、部分成功、刷新恢复</x:v>
      </x:c>
      <x:c r="Q124" s="13" t="str">
        <x:v>仅本人查看任务与结果；Worker 使用服务端权限；平台API Key不下发前端</x:v>
      </x:c>
      <x:c r="R124" s="13" t="str">
        <x:v>创建+扣点同事务；每用户1个活动任务；队列重投跳过已完成variant；图片保留30天</x:v>
      </x:c>
    </x:row>
    <x:row r="125" ht="72" customHeight="1">
      <x:c r="A125" s="13" t="str">
        <x:v>第 2 期</x:v>
      </x:c>
      <x:c r="B125" s="13" t="str">
        <x:v>2. 图标设计与生成</x:v>
      </x:c>
      <x:c r="C125" s="13" t="str">
        <x:v>P2-QA-001</x:v>
      </x:c>
      <x:c r="D125" s="13" t="str">
        <x:v>验收 / 真实生成与下载测试</x:v>
      </x:c>
      <x:c r="E125" s="13" t="str">
        <x:v>P2-QA-001-05</x:v>
      </x:c>
      <x:c r="F125" s="13" t="str">
        <x:v>后端（共享任务）</x:v>
      </x:c>
      <x:c r="G125" s="13" t="str">
        <x:v>ZIP</x:v>
      </x:c>
      <x:c r="H125" s="13" t="str">
        <x:v>ZIP</x:v>
      </x:c>
      <x:c r="I125" s="13" t="str">
        <x:v>输出文件格式、数量、尺寸、透明/背景规则和所有权校验符合 PRD；失败可追踪。</x:v>
      </x:c>
      <x:c r="J125" s="13" t="str">
        <x:v>P2-QA-001-04</x:v>
      </x:c>
      <x:c r="K125" s="13" t="str">
        <x:v>待完成</x:v>
      </x:c>
      <x:c r="L125" s="13" t="str">
        <x:v>09-12～09-13</x:v>
      </x:c>
      <x:c r="M125" s="13" t="str">
        <x:v>—</x:v>
      </x:c>
      <x:c r="N125" s="13" t="str">
        <x:v>job_id、subject_id、variant_id、asset_id 均为UUID；创建请求另带 idempotency_key；记录 settings/skill/model 版本</x:v>
      </x:c>
      <x:c r="O125" s="13" t="str">
        <x:v>job: queued/processing/completed/partial/failed；variant: queued/processing/completed/failed</x:v>
      </x:c>
      <x:c r="P125" s="13" t="str">
        <x:v>1–20主体、每主体3方案、余额不足、内容拦截、模型超时、部分成功、刷新恢复</x:v>
      </x:c>
      <x:c r="Q125" s="13" t="str">
        <x:v>仅本人查看任务与结果；Worker 使用服务端权限；平台API Key不下发前端</x:v>
      </x:c>
      <x:c r="R125" s="13" t="str">
        <x:v>创建+扣点同事务；每用户1个活动任务；队列重投跳过已完成variant；图片保留30天</x:v>
      </x:c>
    </x:row>
    <x:row r="126" ht="72" customHeight="1">
      <x:c r="A126" s="13" t="str">
        <x:v>第 2 期</x:v>
      </x:c>
      <x:c r="B126" s="13" t="str">
        <x:v>2. 图标设计与生成</x:v>
      </x:c>
      <x:c r="C126" s="13" t="str">
        <x:v>P2-QA-001</x:v>
      </x:c>
      <x:c r="D126" s="13" t="str">
        <x:v>验收 / 真实生成与下载测试</x:v>
      </x:c>
      <x:c r="E126" s="13" t="str">
        <x:v>P2-QA-001-06</x:v>
      </x:c>
      <x:c r="F126" s="13" t="str">
        <x:v>后端（共享任务）</x:v>
      </x:c>
      <x:c r="G126" s="13" t="str">
        <x:v>越权</x:v>
      </x:c>
      <x:c r="H126" s="13" t="str">
        <x:v>越权</x:v>
      </x:c>
      <x:c r="I126" s="13" t="str">
        <x:v>允许与拒绝场景均有自动化测试；敏感信息不进入浏览器、日志或导出文件。</x:v>
      </x:c>
      <x:c r="J126" s="13" t="str">
        <x:v>P2-QA-001-05</x:v>
      </x:c>
      <x:c r="K126" s="13" t="str">
        <x:v>待完成</x:v>
      </x:c>
      <x:c r="L126" s="13" t="str">
        <x:v>09-12～09-13</x:v>
      </x:c>
      <x:c r="M126" s="13" t="str">
        <x:v>—</x:v>
      </x:c>
      <x:c r="N126" s="13" t="str">
        <x:v>job_id、subject_id、variant_id、asset_id 均为UUID；创建请求另带 idempotency_key；记录 settings/skill/model 版本</x:v>
      </x:c>
      <x:c r="O126" s="13" t="str">
        <x:v>job: queued/processing/completed/partial/failed；variant: queued/processing/completed/failed</x:v>
      </x:c>
      <x:c r="P126" s="13" t="str">
        <x:v>1–20主体、每主体3方案、余额不足、内容拦截、模型超时、部分成功、刷新恢复</x:v>
      </x:c>
      <x:c r="Q126" s="13" t="str">
        <x:v>仅本人查看任务与结果；Worker 使用服务端权限；平台API Key不下发前端</x:v>
      </x:c>
      <x:c r="R126" s="13" t="str">
        <x:v>创建+扣点同事务；每用户1个活动任务；队列重投跳过已完成variant；图片保留30天</x:v>
      </x:c>
    </x:row>
    <x:row r="127" ht="72" customHeight="1">
      <x:c r="A127" s="13" t="str">
        <x:v>第 2 期</x:v>
      </x:c>
      <x:c r="B127" s="13" t="str">
        <x:v>2. 图标设计与生成</x:v>
      </x:c>
      <x:c r="C127" s="13" t="str">
        <x:v>P2-QA-001</x:v>
      </x:c>
      <x:c r="D127" s="13" t="str">
        <x:v>验收 / 真实生成与下载测试</x:v>
      </x:c>
      <x:c r="E127" s="13" t="str">
        <x:v>P2-QA-001-07</x:v>
      </x:c>
      <x:c r="F127" s="13" t="str">
        <x:v>后端（共享任务）</x:v>
      </x:c>
      <x:c r="G127" s="13" t="str">
        <x:v>返还</x:v>
      </x:c>
      <x:c r="H127" s="13" t="str">
        <x:v>返还</x:v>
      </x:c>
      <x:c r="I127" s="13" t="str">
        <x:v>该条目可独立实现和验证；类型检查及对应测试通过；结果满足父任务验收标准。</x:v>
      </x:c>
      <x:c r="J127" s="13" t="str">
        <x:v>P2-QA-001-06</x:v>
      </x:c>
      <x:c r="K127" s="13" t="str">
        <x:v>待完成</x:v>
      </x:c>
      <x:c r="L127" s="13" t="str">
        <x:v>09-12～09-13</x:v>
      </x:c>
      <x:c r="M127" s="13" t="str">
        <x:v>—</x:v>
      </x:c>
      <x:c r="N127" s="13" t="str">
        <x:v>job_id、subject_id、variant_id、asset_id 均为UUID；创建请求另带 idempotency_key；记录 settings/skill/model 版本</x:v>
      </x:c>
      <x:c r="O127" s="13" t="str">
        <x:v>job: queued/processing/completed/partial/failed；variant: queued/processing/completed/failed</x:v>
      </x:c>
      <x:c r="P127" s="13" t="str">
        <x:v>1–20主体、每主体3方案、余额不足、内容拦截、模型超时、部分成功、刷新恢复</x:v>
      </x:c>
      <x:c r="Q127" s="13" t="str">
        <x:v>仅本人查看任务与结果；Worker 使用服务端权限；平台API Key不下发前端</x:v>
      </x:c>
      <x:c r="R127" s="13" t="str">
        <x:v>创建+扣点同事务；每用户1个活动任务；队列重投跳过已完成variant；图片保留30天</x:v>
      </x:c>
    </x:row>
    <x:row r="128" ht="72" customHeight="1">
      <x:c r="A128" s="13" t="str">
        <x:v>第 3 期</x:v>
      </x:c>
      <x:c r="B128" s="13" t="str">
        <x:v>4. 点数与商业化</x:v>
      </x:c>
      <x:c r="C128" s="13" t="str">
        <x:v>P3-BE-001</x:v>
      </x:c>
      <x:c r="D128" s="13" t="str">
        <x:v>点数包 / 版本化三个套餐</x:v>
      </x:c>
      <x:c r="E128" s="13" t="str">
        <x:v>P3-BE-001-01</x:v>
      </x:c>
      <x:c r="F128" s="13" t="str">
        <x:v>后端</x:v>
      </x:c>
      <x:c r="G128" s="13" t="str">
        <x:v>版本化三个套餐：30/$2.99</x:v>
      </x:c>
      <x:c r="H128" s="13" t="str">
        <x:v>版本化三个套餐：30/$2.99</x:v>
      </x:c>
      <x:c r="I128" s="13" t="str">
        <x:v>该条目可独立实现和验证；类型检查及对应测试通过；结果满足父任务验收标准。</x:v>
      </x:c>
      <x:c r="J128" s="13" t="str">
        <x:v>—</x:v>
      </x:c>
      <x:c r="K128" s="13" t="str">
        <x:v>待完成</x:v>
      </x:c>
      <x:c r="L128" s="13" t="str">
        <x:v>09-14～09-15</x:v>
      </x:c>
      <x:c r="M128" s="13" t="str">
        <x:v>—</x:v>
      </x:c>
      <x:c r="N128" s="13" t="str">
        <x:v>order id(UUID)+order_number(后端生成)；ledger_id(UUID)；Stripe session/payment/event ID；package/pricing version</x:v>
      </x:c>
      <x:c r="O128" s="13" t="str">
        <x:v>order: pending/paid/canceled/expired/failed/refunded；账本记录不可变，余额为快照</x:v>
      </x:c>
      <x:c r="P128" s="13" t="str">
        <x:v>套餐停用/改价、重复点击、Checkout失败、Webhook重复/乱序/伪造、金额币种不一致、退款争议</x:v>
      </x:c>
      <x:c r="Q128" s="13" t="str">
        <x:v>用户只读本人订单/账本；只有验签Webhook可入账；管理员调点需授权和审计</x:v>
      </x:c>
      <x:c r="R128" s="13" t="str">
        <x:v>(user_id,idempotency_key)防重复下单；Event ID去重；订单行锁原子入账；订单/账本进入个人数据导出</x:v>
      </x:c>
    </x:row>
    <x:row r="129" ht="72" customHeight="1">
      <x:c r="A129" s="13" t="str">
        <x:v>第 3 期</x:v>
      </x:c>
      <x:c r="B129" s="13" t="str">
        <x:v>4. 点数与商业化</x:v>
      </x:c>
      <x:c r="C129" s="13" t="str">
        <x:v>P3-BE-001</x:v>
      </x:c>
      <x:c r="D129" s="13" t="str">
        <x:v>点数包 / 版本化三个套餐</x:v>
      </x:c>
      <x:c r="E129" s="13" t="str">
        <x:v>P3-BE-001-02</x:v>
      </x:c>
      <x:c r="F129" s="13" t="str">
        <x:v>后端</x:v>
      </x:c>
      <x:c r="G129" s="13" t="str">
        <x:v>版本化三个套餐：75/$6.49</x:v>
      </x:c>
      <x:c r="H129" s="13" t="str">
        <x:v>版本化三个套餐：75/$6.49</x:v>
      </x:c>
      <x:c r="I129" s="13" t="str">
        <x:v>该条目可独立实现和验证；类型检查及对应测试通过；结果满足父任务验收标准。</x:v>
      </x:c>
      <x:c r="J129" s="13" t="str">
        <x:v>P3-BE-001-01</x:v>
      </x:c>
      <x:c r="K129" s="13" t="str">
        <x:v>待完成</x:v>
      </x:c>
      <x:c r="L129" s="13" t="str">
        <x:v>09-14～09-15</x:v>
      </x:c>
      <x:c r="M129" s="13" t="str">
        <x:v>—</x:v>
      </x:c>
      <x:c r="N129" s="13" t="str">
        <x:v>order id(UUID)+order_number(后端生成)；ledger_id(UUID)；Stripe session/payment/event ID；package/pricing version</x:v>
      </x:c>
      <x:c r="O129" s="13" t="str">
        <x:v>order: pending/paid/canceled/expired/failed/refunded；账本记录不可变，余额为快照</x:v>
      </x:c>
      <x:c r="P129" s="13" t="str">
        <x:v>套餐停用/改价、重复点击、Checkout失败、Webhook重复/乱序/伪造、金额币种不一致、退款争议</x:v>
      </x:c>
      <x:c r="Q129" s="13" t="str">
        <x:v>用户只读本人订单/账本；只有验签Webhook可入账；管理员调点需授权和审计</x:v>
      </x:c>
      <x:c r="R129" s="13" t="str">
        <x:v>(user_id,idempotency_key)防重复下单；Event ID去重；订单行锁原子入账；订单/账本进入个人数据导出</x:v>
      </x:c>
    </x:row>
    <x:row r="130" ht="72" customHeight="1">
      <x:c r="A130" s="13" t="str">
        <x:v>第 3 期</x:v>
      </x:c>
      <x:c r="B130" s="13" t="str">
        <x:v>4. 点数与商业化</x:v>
      </x:c>
      <x:c r="C130" s="13" t="str">
        <x:v>P3-BE-001</x:v>
      </x:c>
      <x:c r="D130" s="13" t="str">
        <x:v>点数包 / 版本化三个套餐</x:v>
      </x:c>
      <x:c r="E130" s="13" t="str">
        <x:v>P3-BE-001-03</x:v>
      </x:c>
      <x:c r="F130" s="13" t="str">
        <x:v>后端</x:v>
      </x:c>
      <x:c r="G130" s="13" t="str">
        <x:v>版本化三个套餐：180/$12.99</x:v>
      </x:c>
      <x:c r="H130" s="13" t="str">
        <x:v>版本化三个套餐：180/$12.99</x:v>
      </x:c>
      <x:c r="I130" s="13" t="str">
        <x:v>该条目可独立实现和验证；类型检查及对应测试通过；结果满足父任务验收标准。</x:v>
      </x:c>
      <x:c r="J130" s="13" t="str">
        <x:v>P3-BE-001-02</x:v>
      </x:c>
      <x:c r="K130" s="13" t="str">
        <x:v>待完成</x:v>
      </x:c>
      <x:c r="L130" s="13" t="str">
        <x:v>09-14～09-15</x:v>
      </x:c>
      <x:c r="M130" s="13" t="str">
        <x:v>—</x:v>
      </x:c>
      <x:c r="N130" s="13" t="str">
        <x:v>order id(UUID)+order_number(后端生成)；ledger_id(UUID)；Stripe session/payment/event ID；package/pricing version</x:v>
      </x:c>
      <x:c r="O130" s="13" t="str">
        <x:v>order: pending/paid/canceled/expired/failed/refunded；账本记录不可变，余额为快照</x:v>
      </x:c>
      <x:c r="P130" s="13" t="str">
        <x:v>套餐停用/改价、重复点击、Checkout失败、Webhook重复/乱序/伪造、金额币种不一致、退款争议</x:v>
      </x:c>
      <x:c r="Q130" s="13" t="str">
        <x:v>用户只读本人订单/账本；只有验签Webhook可入账；管理员调点需授权和审计</x:v>
      </x:c>
      <x:c r="R130" s="13" t="str">
        <x:v>(user_id,idempotency_key)防重复下单；Event ID去重；订单行锁原子入账；订单/账本进入个人数据导出</x:v>
      </x:c>
    </x:row>
    <x:row r="131" ht="72" customHeight="1">
      <x:c r="A131" s="13" t="str">
        <x:v>第 3 期</x:v>
      </x:c>
      <x:c r="B131" s="13" t="str">
        <x:v>4. 点数与商业化</x:v>
      </x:c>
      <x:c r="C131" s="13" t="str">
        <x:v>P3-BE-001</x:v>
      </x:c>
      <x:c r="D131" s="13" t="str">
        <x:v>点数包 / 版本化三个套餐</x:v>
      </x:c>
      <x:c r="E131" s="13" t="str">
        <x:v>P3-BE-001-04</x:v>
      </x:c>
      <x:c r="F131" s="13" t="str">
        <x:v>后端</x:v>
      </x:c>
      <x:c r="G131" s="13" t="str">
        <x:v>启停状态</x:v>
      </x:c>
      <x:c r="H131" s="13" t="str">
        <x:v>启停状态</x:v>
      </x:c>
      <x:c r="I131" s="13" t="str">
        <x:v>该条目可独立实现和验证；类型检查及对应测试通过；结果满足父任务验收标准。</x:v>
      </x:c>
      <x:c r="J131" s="13" t="str">
        <x:v>P3-BE-001-03</x:v>
      </x:c>
      <x:c r="K131" s="13" t="str">
        <x:v>待完成</x:v>
      </x:c>
      <x:c r="L131" s="13" t="str">
        <x:v>09-14～09-15</x:v>
      </x:c>
      <x:c r="M131" s="13" t="str">
        <x:v>—</x:v>
      </x:c>
      <x:c r="N131" s="13" t="str">
        <x:v>order id(UUID)+order_number(后端生成)；ledger_id(UUID)；Stripe session/payment/event ID；package/pricing version</x:v>
      </x:c>
      <x:c r="O131" s="13" t="str">
        <x:v>order: pending/paid/canceled/expired/failed/refunded；账本记录不可变，余额为快照</x:v>
      </x:c>
      <x:c r="P131" s="13" t="str">
        <x:v>套餐停用/改价、重复点击、Checkout失败、Webhook重复/乱序/伪造、金额币种不一致、退款争议</x:v>
      </x:c>
      <x:c r="Q131" s="13" t="str">
        <x:v>用户只读本人订单/账本；只有验签Webhook可入账；管理员调点需授权和审计</x:v>
      </x:c>
      <x:c r="R131" s="13" t="str">
        <x:v>(user_id,idempotency_key)防重复下单；Event ID去重；订单行锁原子入账；订单/账本进入个人数据导出</x:v>
      </x:c>
    </x:row>
    <x:row r="132" ht="72" customHeight="1">
      <x:c r="A132" s="13" t="str">
        <x:v>第 3 期</x:v>
      </x:c>
      <x:c r="B132" s="13" t="str">
        <x:v>4. 点数与商业化</x:v>
      </x:c>
      <x:c r="C132" s="13" t="str">
        <x:v>P3-BE-001</x:v>
      </x:c>
      <x:c r="D132" s="13" t="str">
        <x:v>点数包 / 版本化三个套餐</x:v>
      </x:c>
      <x:c r="E132" s="13" t="str">
        <x:v>P3-BE-001-05</x:v>
      </x:c>
      <x:c r="F132" s="13" t="str">
        <x:v>后端</x:v>
      </x:c>
      <x:c r="G132" s="13" t="str">
        <x:v>Stripe Price ID</x:v>
      </x:c>
      <x:c r="H132" s="13" t="str">
        <x:v>Stripe Price ID</x:v>
      </x:c>
      <x:c r="I132" s="13" t="str">
        <x:v>该条目可独立实现和验证；类型检查及对应测试通过；结果满足父任务验收标准。</x:v>
      </x:c>
      <x:c r="J132" s="13" t="str">
        <x:v>P3-BE-001-04</x:v>
      </x:c>
      <x:c r="K132" s="13" t="str">
        <x:v>待完成</x:v>
      </x:c>
      <x:c r="L132" s="13" t="str">
        <x:v>09-14～09-15</x:v>
      </x:c>
      <x:c r="M132" s="13" t="str">
        <x:v>—</x:v>
      </x:c>
      <x:c r="N132" s="13" t="str">
        <x:v>order id(UUID)+order_number(后端生成)；ledger_id(UUID)；Stripe session/payment/event ID；package/pricing version</x:v>
      </x:c>
      <x:c r="O132" s="13" t="str">
        <x:v>order: pending/paid/canceled/expired/failed/refunded；账本记录不可变，余额为快照</x:v>
      </x:c>
      <x:c r="P132" s="13" t="str">
        <x:v>套餐停用/改价、重复点击、Checkout失败、Webhook重复/乱序/伪造、金额币种不一致、退款争议</x:v>
      </x:c>
      <x:c r="Q132" s="13" t="str">
        <x:v>用户只读本人订单/账本；只有验签Webhook可入账；管理员调点需授权和审计</x:v>
      </x:c>
      <x:c r="R132" s="13" t="str">
        <x:v>(user_id,idempotency_key)防重复下单；Event ID去重；订单行锁原子入账；订单/账本进入个人数据导出</x:v>
      </x:c>
    </x:row>
    <x:row r="133" ht="72" customHeight="1">
      <x:c r="A133" s="13" t="str">
        <x:v>第 3 期</x:v>
      </x:c>
      <x:c r="B133" s="13" t="str">
        <x:v>2. 图标设计与生成</x:v>
      </x:c>
      <x:c r="C133" s="13" t="str">
        <x:v>P3-BE-002</x:v>
      </x:c>
      <x:c r="D133" s="13" t="str">
        <x:v>Stripe / Checkout API</x:v>
      </x:c>
      <x:c r="E133" s="13" t="str">
        <x:v>P3-BE-002-01</x:v>
      </x:c>
      <x:c r="F133" s="13" t="str">
        <x:v>后端</x:v>
      </x:c>
      <x:c r="G133" s="13" t="str">
        <x:v>登录/验证检查</x:v>
      </x:c>
      <x:c r="H133" s="13" t="str">
        <x:v>登录/验证检查</x:v>
      </x:c>
      <x:c r="I133" s="13" t="str">
        <x:v>该条目可独立实现和验证；类型检查及对应测试通过；结果满足父任务验收标准。</x:v>
      </x:c>
      <x:c r="J133" s="13" t="str">
        <x:v>P3-BE-001</x:v>
      </x:c>
      <x:c r="K133" s="13" t="str">
        <x:v>待完成</x:v>
      </x:c>
      <x:c r="L133" s="13" t="str">
        <x:v>09-15～09-16</x:v>
      </x:c>
      <x:c r="M133" s="13" t="str">
        <x:v>—</x:v>
      </x:c>
      <x:c r="N133" s="13" t="str">
        <x:v>job_id、subject_id、variant_id、asset_id 均为UUID；创建请求另带 idempotency_key；记录 settings/skill/model 版本</x:v>
      </x:c>
      <x:c r="O133" s="13" t="str">
        <x:v>job: queued/processing/completed/partial/failed；variant: queued/processing/completed/failed</x:v>
      </x:c>
      <x:c r="P133" s="13" t="str">
        <x:v>1–20主体、每主体3方案、余额不足、内容拦截、模型超时、部分成功、刷新恢复</x:v>
      </x:c>
      <x:c r="Q133" s="13" t="str">
        <x:v>仅本人查看任务与结果；Worker 使用服务端权限；平台API Key不下发前端</x:v>
      </x:c>
      <x:c r="R133" s="13" t="str">
        <x:v>创建+扣点同事务；每用户1个活动任务；队列重投跳过已完成variant；图片保留30天</x:v>
      </x:c>
    </x:row>
    <x:row r="134" ht="72" customHeight="1">
      <x:c r="A134" s="13" t="str">
        <x:v>第 3 期</x:v>
      </x:c>
      <x:c r="B134" s="13" t="str">
        <x:v>2. 图标设计与生成</x:v>
      </x:c>
      <x:c r="C134" s="13" t="str">
        <x:v>P3-BE-002</x:v>
      </x:c>
      <x:c r="D134" s="13" t="str">
        <x:v>Stripe / Checkout API</x:v>
      </x:c>
      <x:c r="E134" s="13" t="str">
        <x:v>P3-BE-002-02</x:v>
      </x:c>
      <x:c r="F134" s="13" t="str">
        <x:v>后端</x:v>
      </x:c>
      <x:c r="G134" s="13" t="str">
        <x:v>packageId</x:v>
      </x:c>
      <x:c r="H134" s="13" t="str">
        <x:v>packageId</x:v>
      </x:c>
      <x:c r="I134" s="13" t="str">
        <x:v>该条目可独立实现和验证；类型检查及对应测试通过；结果满足父任务验收标准。</x:v>
      </x:c>
      <x:c r="J134" s="13" t="str">
        <x:v>P3-BE-002-01</x:v>
      </x:c>
      <x:c r="K134" s="13" t="str">
        <x:v>待完成</x:v>
      </x:c>
      <x:c r="L134" s="13" t="str">
        <x:v>09-15～09-16</x:v>
      </x:c>
      <x:c r="M134" s="13" t="str">
        <x:v>—</x:v>
      </x:c>
      <x:c r="N134" s="13" t="str">
        <x:v>job_id、subject_id、variant_id、asset_id 均为UUID；创建请求另带 idempotency_key；记录 settings/skill/model 版本</x:v>
      </x:c>
      <x:c r="O134" s="13" t="str">
        <x:v>job: queued/processing/completed/partial/failed；variant: queued/processing/completed/failed</x:v>
      </x:c>
      <x:c r="P134" s="13" t="str">
        <x:v>1–20主体、每主体3方案、余额不足、内容拦截、模型超时、部分成功、刷新恢复</x:v>
      </x:c>
      <x:c r="Q134" s="13" t="str">
        <x:v>仅本人查看任务与结果；Worker 使用服务端权限；平台API Key不下发前端</x:v>
      </x:c>
      <x:c r="R134" s="13" t="str">
        <x:v>创建+扣点同事务；每用户1个活动任务；队列重投跳过已完成variant；图片保留30天</x:v>
      </x:c>
    </x:row>
    <x:row r="135" ht="72" customHeight="1">
      <x:c r="A135" s="13" t="str">
        <x:v>第 3 期</x:v>
      </x:c>
      <x:c r="B135" s="13" t="str">
        <x:v>2. 图标设计与生成</x:v>
      </x:c>
      <x:c r="C135" s="13" t="str">
        <x:v>P3-BE-002</x:v>
      </x:c>
      <x:c r="D135" s="13" t="str">
        <x:v>Stripe / Checkout API</x:v>
      </x:c>
      <x:c r="E135" s="13" t="str">
        <x:v>P3-BE-002-03</x:v>
      </x:c>
      <x:c r="F135" s="13" t="str">
        <x:v>后端</x:v>
      </x:c>
      <x:c r="G135" s="13" t="str">
        <x:v>后端生成业务订单号</x:v>
      </x:c>
      <x:c r="H135" s="13" t="str">
        <x:v>后端生成业务订单号</x:v>
      </x:c>
      <x:c r="I135" s="13" t="str">
        <x:v>该条目可独立实现和验证；类型检查及对应测试通过；结果满足父任务验收标准。</x:v>
      </x:c>
      <x:c r="J135" s="13" t="str">
        <x:v>P3-BE-002-02</x:v>
      </x:c>
      <x:c r="K135" s="13" t="str">
        <x:v>待完成</x:v>
      </x:c>
      <x:c r="L135" s="13" t="str">
        <x:v>09-15～09-16</x:v>
      </x:c>
      <x:c r="M135" s="13" t="str">
        <x:v>—</x:v>
      </x:c>
      <x:c r="N135" s="13" t="str">
        <x:v>job_id、subject_id、variant_id、asset_id 均为UUID；创建请求另带 idempotency_key；记录 settings/skill/model 版本</x:v>
      </x:c>
      <x:c r="O135" s="13" t="str">
        <x:v>job: queued/processing/completed/partial/failed；variant: queued/processing/completed/failed</x:v>
      </x:c>
      <x:c r="P135" s="13" t="str">
        <x:v>1–20主体、每主体3方案、余额不足、内容拦截、模型超时、部分成功、刷新恢复</x:v>
      </x:c>
      <x:c r="Q135" s="13" t="str">
        <x:v>仅本人查看任务与结果；Worker 使用服务端权限；平台API Key不下发前端</x:v>
      </x:c>
      <x:c r="R135" s="13" t="str">
        <x:v>创建+扣点同事务；每用户1个活动任务；队列重投跳过已完成variant；图片保留30天</x:v>
      </x:c>
    </x:row>
    <x:row r="136" ht="72" customHeight="1">
      <x:c r="A136" s="13" t="str">
        <x:v>第 3 期</x:v>
      </x:c>
      <x:c r="B136" s="13" t="str">
        <x:v>2. 图标设计与生成</x:v>
      </x:c>
      <x:c r="C136" s="13" t="str">
        <x:v>P3-BE-002</x:v>
      </x:c>
      <x:c r="D136" s="13" t="str">
        <x:v>Stripe / Checkout API</x:v>
      </x:c>
      <x:c r="E136" s="13" t="str">
        <x:v>P3-BE-002-04</x:v>
      </x:c>
      <x:c r="F136" s="13" t="str">
        <x:v>后端</x:v>
      </x:c>
      <x:c r="G136" s="13" t="str">
        <x:v>订单号唯一冲突重试</x:v>
      </x:c>
      <x:c r="H136" s="13" t="str">
        <x:v>订单号唯一冲突重试</x:v>
      </x:c>
      <x:c r="I136" s="13" t="str">
        <x:v>该条目可独立实现和验证；类型检查及对应测试通过；结果满足父任务验收标准。</x:v>
      </x:c>
      <x:c r="J136" s="13" t="str">
        <x:v>P3-BE-002-03</x:v>
      </x:c>
      <x:c r="K136" s="13" t="str">
        <x:v>待完成</x:v>
      </x:c>
      <x:c r="L136" s="13" t="str">
        <x:v>09-15～09-16</x:v>
      </x:c>
      <x:c r="M136" s="13" t="str">
        <x:v>—</x:v>
      </x:c>
      <x:c r="N136" s="13" t="str">
        <x:v>job_id、subject_id、variant_id、asset_id 均为UUID；创建请求另带 idempotency_key；记录 settings/skill/model 版本</x:v>
      </x:c>
      <x:c r="O136" s="13" t="str">
        <x:v>job: queued/processing/completed/partial/failed；variant: queued/processing/completed/failed</x:v>
      </x:c>
      <x:c r="P136" s="13" t="str">
        <x:v>1–20主体、每主体3方案、余额不足、内容拦截、模型超时、部分成功、刷新恢复</x:v>
      </x:c>
      <x:c r="Q136" s="13" t="str">
        <x:v>仅本人查看任务与结果；Worker 使用服务端权限；平台API Key不下发前端</x:v>
      </x:c>
      <x:c r="R136" s="13" t="str">
        <x:v>创建+扣点同事务；每用户1个活动任务；队列重投跳过已完成variant；图片保留30天</x:v>
      </x:c>
    </x:row>
    <x:row r="137" ht="72" customHeight="1">
      <x:c r="A137" s="13" t="str">
        <x:v>第 3 期</x:v>
      </x:c>
      <x:c r="B137" s="13" t="str">
        <x:v>2. 图标设计与生成</x:v>
      </x:c>
      <x:c r="C137" s="13" t="str">
        <x:v>P3-BE-002</x:v>
      </x:c>
      <x:c r="D137" s="13" t="str">
        <x:v>Stripe / Checkout API</x:v>
      </x:c>
      <x:c r="E137" s="13" t="str">
        <x:v>P3-BE-002-05</x:v>
      </x:c>
      <x:c r="F137" s="13" t="str">
        <x:v>后端</x:v>
      </x:c>
      <x:c r="G137" s="13" t="str">
        <x:v>`(user_id,idempotency_key)` 防重复</x:v>
      </x:c>
      <x:c r="H137" s="13" t="str">
        <x:v>`(user_id,idempotency_key)` 防重复</x:v>
      </x:c>
      <x:c r="I137" s="13" t="str">
        <x:v>重复与并发请求不重复创建、扣点或入账；任一步失败可回滚并可安全重试。</x:v>
      </x:c>
      <x:c r="J137" s="13" t="str">
        <x:v>P3-BE-002-04</x:v>
      </x:c>
      <x:c r="K137" s="13" t="str">
        <x:v>待完成</x:v>
      </x:c>
      <x:c r="L137" s="13" t="str">
        <x:v>09-15～09-16</x:v>
      </x:c>
      <x:c r="M137" s="13" t="str">
        <x:v>—</x:v>
      </x:c>
      <x:c r="N137" s="13" t="str">
        <x:v>job_id、subject_id、variant_id、asset_id 均为UUID；创建请求另带 idempotency_key；记录 settings/skill/model 版本</x:v>
      </x:c>
      <x:c r="O137" s="13" t="str">
        <x:v>job: queued/processing/completed/partial/failed；variant: queued/processing/completed/failed</x:v>
      </x:c>
      <x:c r="P137" s="13" t="str">
        <x:v>1–20主体、每主体3方案、余额不足、内容拦截、模型超时、部分成功、刷新恢复</x:v>
      </x:c>
      <x:c r="Q137" s="13" t="str">
        <x:v>仅本人查看任务与结果；Worker 使用服务端权限；平台API Key不下发前端</x:v>
      </x:c>
      <x:c r="R137" s="13" t="str">
        <x:v>创建+扣点同事务；每用户1个活动任务；队列重投跳过已完成variant；图片保留30天</x:v>
      </x:c>
    </x:row>
    <x:row r="138" ht="72" customHeight="1">
      <x:c r="A138" s="13" t="str">
        <x:v>第 3 期</x:v>
      </x:c>
      <x:c r="B138" s="13" t="str">
        <x:v>2. 图标设计与生成</x:v>
      </x:c>
      <x:c r="C138" s="13" t="str">
        <x:v>P3-BE-002</x:v>
      </x:c>
      <x:c r="D138" s="13" t="str">
        <x:v>Stripe / Checkout API</x:v>
      </x:c>
      <x:c r="E138" s="13" t="str">
        <x:v>P3-BE-002-06</x:v>
      </x:c>
      <x:c r="F138" s="13" t="str">
        <x:v>后端</x:v>
      </x:c>
      <x:c r="G138" s="13" t="str">
        <x:v>固化套餐/价格/金额/币种/点数快照</x:v>
      </x:c>
      <x:c r="H138" s="13" t="str">
        <x:v>固化套餐/价格/金额/币种/点数快照</x:v>
      </x:c>
      <x:c r="I138" s="13" t="str">
        <x:v>该条目可独立实现和验证；类型检查及对应测试通过；结果满足父任务验收标准。</x:v>
      </x:c>
      <x:c r="J138" s="13" t="str">
        <x:v>P3-BE-002-05</x:v>
      </x:c>
      <x:c r="K138" s="13" t="str">
        <x:v>待完成</x:v>
      </x:c>
      <x:c r="L138" s="13" t="str">
        <x:v>09-15～09-16</x:v>
      </x:c>
      <x:c r="M138" s="13" t="str">
        <x:v>—</x:v>
      </x:c>
      <x:c r="N138" s="13" t="str">
        <x:v>job_id、subject_id、variant_id、asset_id 均为UUID；创建请求另带 idempotency_key；记录 settings/skill/model 版本</x:v>
      </x:c>
      <x:c r="O138" s="13" t="str">
        <x:v>job: queued/processing/completed/partial/failed；variant: queued/processing/completed/failed</x:v>
      </x:c>
      <x:c r="P138" s="13" t="str">
        <x:v>1–20主体、每主体3方案、余额不足、内容拦截、模型超时、部分成功、刷新恢复</x:v>
      </x:c>
      <x:c r="Q138" s="13" t="str">
        <x:v>仅本人查看任务与结果；Worker 使用服务端权限；平台API Key不下发前端</x:v>
      </x:c>
      <x:c r="R138" s="13" t="str">
        <x:v>创建+扣点同事务；每用户1个活动任务；队列重投跳过已完成variant；图片保留30天</x:v>
      </x:c>
    </x:row>
    <x:row r="139" ht="72" customHeight="1">
      <x:c r="A139" s="13" t="str">
        <x:v>第 3 期</x:v>
      </x:c>
      <x:c r="B139" s="13" t="str">
        <x:v>2. 图标设计与生成</x:v>
      </x:c>
      <x:c r="C139" s="13" t="str">
        <x:v>P3-BE-002</x:v>
      </x:c>
      <x:c r="D139" s="13" t="str">
        <x:v>Stripe / Checkout API</x:v>
      </x:c>
      <x:c r="E139" s="13" t="str">
        <x:v>P3-BE-002-07</x:v>
      </x:c>
      <x:c r="F139" s="13" t="str">
        <x:v>后端</x:v>
      </x:c>
      <x:c r="G139" s="13" t="str">
        <x:v>创建 pending 订单和 Stripe Session</x:v>
      </x:c>
      <x:c r="H139" s="13" t="str">
        <x:v>创建 pending 订单和 Stripe Session</x:v>
      </x:c>
      <x:c r="I139" s="13" t="str">
        <x:v>该条目可独立实现和验证；类型检查及对应测试通过；结果满足父任务验收标准。</x:v>
      </x:c>
      <x:c r="J139" s="13" t="str">
        <x:v>P3-BE-002-06</x:v>
      </x:c>
      <x:c r="K139" s="13" t="str">
        <x:v>待完成</x:v>
      </x:c>
      <x:c r="L139" s="13" t="str">
        <x:v>09-15～09-16</x:v>
      </x:c>
      <x:c r="M139" s="13" t="str">
        <x:v>—</x:v>
      </x:c>
      <x:c r="N139" s="13" t="str">
        <x:v>job_id、subject_id、variant_id、asset_id 均为UUID；创建请求另带 idempotency_key；记录 settings/skill/model 版本</x:v>
      </x:c>
      <x:c r="O139" s="13" t="str">
        <x:v>job: queued/processing/completed/partial/failed；variant: queued/processing/completed/failed</x:v>
      </x:c>
      <x:c r="P139" s="13" t="str">
        <x:v>1–20主体、每主体3方案、余额不足、内容拦截、模型超时、部分成功、刷新恢复</x:v>
      </x:c>
      <x:c r="Q139" s="13" t="str">
        <x:v>仅本人查看任务与结果；Worker 使用服务端权限；平台API Key不下发前端</x:v>
      </x:c>
      <x:c r="R139" s="13" t="str">
        <x:v>创建+扣点同事务；每用户1个活动任务；队列重投跳过已完成variant；图片保留30天</x:v>
      </x:c>
    </x:row>
    <x:row r="140" ht="72" customHeight="1">
      <x:c r="A140" s="13" t="str">
        <x:v>第 3 期</x:v>
      </x:c>
      <x:c r="B140" s="13" t="str">
        <x:v>2. 图标设计与生成</x:v>
      </x:c>
      <x:c r="C140" s="13" t="str">
        <x:v>P3-BE-002</x:v>
      </x:c>
      <x:c r="D140" s="13" t="str">
        <x:v>Stripe / Checkout API</x:v>
      </x:c>
      <x:c r="E140" s="13" t="str">
        <x:v>P3-BE-002-08</x:v>
      </x:c>
      <x:c r="F140" s="13" t="str">
        <x:v>后端</x:v>
      </x:c>
      <x:c r="G140" s="13" t="str">
        <x:v>metadata 映射内部 UUID</x:v>
      </x:c>
      <x:c r="H140" s="13" t="str">
        <x:v>metadata 映射内部 UUID</x:v>
      </x:c>
      <x:c r="I140" s="13" t="str">
        <x:v>该条目可独立实现和验证；类型检查及对应测试通过；结果满足父任务验收标准。</x:v>
      </x:c>
      <x:c r="J140" s="13" t="str">
        <x:v>P3-BE-002-07</x:v>
      </x:c>
      <x:c r="K140" s="13" t="str">
        <x:v>待完成</x:v>
      </x:c>
      <x:c r="L140" s="13" t="str">
        <x:v>09-15～09-16</x:v>
      </x:c>
      <x:c r="M140" s="13" t="str">
        <x:v>—</x:v>
      </x:c>
      <x:c r="N140" s="13" t="str">
        <x:v>job_id、subject_id、variant_id、asset_id 均为UUID；创建请求另带 idempotency_key；记录 settings/skill/model 版本</x:v>
      </x:c>
      <x:c r="O140" s="13" t="str">
        <x:v>job: queued/processing/completed/partial/failed；variant: queued/processing/completed/failed</x:v>
      </x:c>
      <x:c r="P140" s="13" t="str">
        <x:v>1–20主体、每主体3方案、余额不足、内容拦截、模型超时、部分成功、刷新恢复</x:v>
      </x:c>
      <x:c r="Q140" s="13" t="str">
        <x:v>仅本人查看任务与结果；Worker 使用服务端权限；平台API Key不下发前端</x:v>
      </x:c>
      <x:c r="R140" s="13" t="str">
        <x:v>创建+扣点同事务；每用户1个活动任务；队列重投跳过已完成variant；图片保留30天</x:v>
      </x:c>
    </x:row>
    <x:row r="141" ht="72" customHeight="1">
      <x:c r="A141" s="13" t="str">
        <x:v>第 3 期</x:v>
      </x:c>
      <x:c r="B141" s="13" t="str">
        <x:v>2. 图标设计与生成</x:v>
      </x:c>
      <x:c r="C141" s="13" t="str">
        <x:v>P3-BE-002</x:v>
      </x:c>
      <x:c r="D141" s="13" t="str">
        <x:v>Stripe / Checkout API</x:v>
      </x:c>
      <x:c r="E141" s="13" t="str">
        <x:v>P3-BE-002-09</x:v>
      </x:c>
      <x:c r="F141" s="13" t="str">
        <x:v>后端</x:v>
      </x:c>
      <x:c r="G141" s="13" t="str">
        <x:v>返回 orderNumber 和 checkoutUrl</x:v>
      </x:c>
      <x:c r="H141" s="13" t="str">
        <x:v>返回 orderNumber 和 checkoutUrl</x:v>
      </x:c>
      <x:c r="I141" s="13" t="str">
        <x:v>该条目可独立实现和验证；类型检查及对应测试通过；结果满足父任务验收标准。</x:v>
      </x:c>
      <x:c r="J141" s="13" t="str">
        <x:v>P3-BE-002-08</x:v>
      </x:c>
      <x:c r="K141" s="13" t="str">
        <x:v>待完成</x:v>
      </x:c>
      <x:c r="L141" s="13" t="str">
        <x:v>09-15～09-16</x:v>
      </x:c>
      <x:c r="M141" s="13" t="str">
        <x:v>—</x:v>
      </x:c>
      <x:c r="N141" s="13" t="str">
        <x:v>job_id、subject_id、variant_id、asset_id 均为UUID；创建请求另带 idempotency_key；记录 settings/skill/model 版本</x:v>
      </x:c>
      <x:c r="O141" s="13" t="str">
        <x:v>job: queued/processing/completed/partial/failed；variant: queued/processing/completed/failed</x:v>
      </x:c>
      <x:c r="P141" s="13" t="str">
        <x:v>1–20主体、每主体3方案、余额不足、内容拦截、模型超时、部分成功、刷新恢复</x:v>
      </x:c>
      <x:c r="Q141" s="13" t="str">
        <x:v>仅本人查看任务与结果；Worker 使用服务端权限；平台API Key不下发前端</x:v>
      </x:c>
      <x:c r="R141" s="13" t="str">
        <x:v>创建+扣点同事务；每用户1个活动任务；队列重投跳过已完成variant；图片保留30天</x:v>
      </x:c>
    </x:row>
    <x:row r="142" ht="72" customHeight="1">
      <x:c r="A142" s="13" t="str">
        <x:v>第 3 期</x:v>
      </x:c>
      <x:c r="B142" s="13" t="str">
        <x:v>2. 图标设计与生成</x:v>
      </x:c>
      <x:c r="C142" s="13" t="str">
        <x:v>P3-BE-002</x:v>
      </x:c>
      <x:c r="D142" s="13" t="str">
        <x:v>Stripe / Checkout API</x:v>
      </x:c>
      <x:c r="E142" s="13" t="str">
        <x:v>P3-BE-002-10</x:v>
      </x:c>
      <x:c r="F142" s="13" t="str">
        <x:v>后端</x:v>
      </x:c>
      <x:c r="G142" s="13" t="str">
        <x:v>创建失败可追踪</x:v>
      </x:c>
      <x:c r="H142" s="13" t="str">
        <x:v>创建失败可追踪</x:v>
      </x:c>
      <x:c r="I142" s="13" t="str">
        <x:v>该条目可独立实现和验证；类型检查及对应测试通过；结果满足父任务验收标准。</x:v>
      </x:c>
      <x:c r="J142" s="13" t="str">
        <x:v>P3-BE-002-09</x:v>
      </x:c>
      <x:c r="K142" s="13" t="str">
        <x:v>待完成</x:v>
      </x:c>
      <x:c r="L142" s="13" t="str">
        <x:v>09-15～09-16</x:v>
      </x:c>
      <x:c r="M142" s="13" t="str">
        <x:v>—</x:v>
      </x:c>
      <x:c r="N142" s="13" t="str">
        <x:v>job_id、subject_id、variant_id、asset_id 均为UUID；创建请求另带 idempotency_key；记录 settings/skill/model 版本</x:v>
      </x:c>
      <x:c r="O142" s="13" t="str">
        <x:v>job: queued/processing/completed/partial/failed；variant: queued/processing/completed/failed</x:v>
      </x:c>
      <x:c r="P142" s="13" t="str">
        <x:v>1–20主体、每主体3方案、余额不足、内容拦截、模型超时、部分成功、刷新恢复</x:v>
      </x:c>
      <x:c r="Q142" s="13" t="str">
        <x:v>仅本人查看任务与结果；Worker 使用服务端权限；平台API Key不下发前端</x:v>
      </x:c>
      <x:c r="R142" s="13" t="str">
        <x:v>创建+扣点同事务；每用户1个活动任务；队列重投跳过已完成variant；图片保留30天</x:v>
      </x:c>
    </x:row>
    <x:row r="143" ht="72" customHeight="1">
      <x:c r="A143" s="13" t="str">
        <x:v>第 3 期</x:v>
      </x:c>
      <x:c r="B143" s="13" t="str">
        <x:v>2. 图标设计与生成</x:v>
      </x:c>
      <x:c r="C143" s="13" t="str">
        <x:v>P3-BE-002</x:v>
      </x:c>
      <x:c r="D143" s="13" t="str">
        <x:v>Stripe / Checkout API</x:v>
      </x:c>
      <x:c r="E143" s="13" t="str">
        <x:v>P3-BE-002-11</x:v>
      </x:c>
      <x:c r="F143" s="13" t="str">
        <x:v>后端</x:v>
      </x:c>
      <x:c r="G143" s="13" t="str">
        <x:v>支持本人订单状态查询</x:v>
      </x:c>
      <x:c r="H143" s="13" t="str">
        <x:v>支持本人订单状态查询</x:v>
      </x:c>
      <x:c r="I143" s="13" t="str">
        <x:v>该条目可独立实现和验证；类型检查及对应测试通过；结果满足父任务验收标准。</x:v>
      </x:c>
      <x:c r="J143" s="13" t="str">
        <x:v>P3-BE-002-10</x:v>
      </x:c>
      <x:c r="K143" s="13" t="str">
        <x:v>待完成</x:v>
      </x:c>
      <x:c r="L143" s="13" t="str">
        <x:v>09-15～09-16</x:v>
      </x:c>
      <x:c r="M143" s="13" t="str">
        <x:v>—</x:v>
      </x:c>
      <x:c r="N143" s="13" t="str">
        <x:v>job_id、subject_id、variant_id、asset_id 均为UUID；创建请求另带 idempotency_key；记录 settings/skill/model 版本</x:v>
      </x:c>
      <x:c r="O143" s="13" t="str">
        <x:v>job: queued/processing/completed/partial/failed；variant: queued/processing/completed/failed</x:v>
      </x:c>
      <x:c r="P143" s="13" t="str">
        <x:v>1–20主体、每主体3方案、余额不足、内容拦截、模型超时、部分成功、刷新恢复</x:v>
      </x:c>
      <x:c r="Q143" s="13" t="str">
        <x:v>仅本人查看任务与结果；Worker 使用服务端权限；平台API Key不下发前端</x:v>
      </x:c>
      <x:c r="R143" s="13" t="str">
        <x:v>创建+扣点同事务；每用户1个活动任务；队列重投跳过已完成variant；图片保留30天</x:v>
      </x:c>
    </x:row>
    <x:row r="144" ht="72" customHeight="1">
      <x:c r="A144" s="13" t="str">
        <x:v>第 3 期</x:v>
      </x:c>
      <x:c r="B144" s="13" t="str">
        <x:v>4. 点数与商业化</x:v>
      </x:c>
      <x:c r="C144" s="13" t="str">
        <x:v>P3-BE-003</x:v>
      </x:c>
      <x:c r="D144" s="13" t="str">
        <x:v>Stripe / Webhook 入账</x:v>
      </x:c>
      <x:c r="E144" s="13" t="str">
        <x:v>P3-BE-003-01</x:v>
      </x:c>
      <x:c r="F144" s="13" t="str">
        <x:v>后端</x:v>
      </x:c>
      <x:c r="G144" s="13" t="str">
        <x:v>原始请求验签</x:v>
      </x:c>
      <x:c r="H144" s="13" t="str">
        <x:v>原始请求验签</x:v>
      </x:c>
      <x:c r="I144" s="13" t="str">
        <x:v>允许与拒绝场景均有自动化测试；敏感信息不进入浏览器、日志或导出文件。</x:v>
      </x:c>
      <x:c r="J144" s="13" t="str">
        <x:v>P3-BE-002</x:v>
      </x:c>
      <x:c r="K144" s="13" t="str">
        <x:v>待完成</x:v>
      </x:c>
      <x:c r="L144" s="13" t="str">
        <x:v>09-16～09-17</x:v>
      </x:c>
      <x:c r="M144" s="13" t="str">
        <x:v>—</x:v>
      </x:c>
      <x:c r="N144" s="13" t="str">
        <x:v>order id(UUID)+order_number(后端生成)；ledger_id(UUID)；Stripe session/payment/event ID；package/pricing version</x:v>
      </x:c>
      <x:c r="O144" s="13" t="str">
        <x:v>order: pending/paid/canceled/expired/failed/refunded；账本记录不可变，余额为快照</x:v>
      </x:c>
      <x:c r="P144" s="13" t="str">
        <x:v>套餐停用/改价、重复点击、Checkout失败、Webhook重复/乱序/伪造、金额币种不一致、退款争议</x:v>
      </x:c>
      <x:c r="Q144" s="13" t="str">
        <x:v>用户只读本人订单/账本；只有验签Webhook可入账；管理员调点需授权和审计</x:v>
      </x:c>
      <x:c r="R144" s="13" t="str">
        <x:v>(user_id,idempotency_key)防重复下单；Event ID去重；订单行锁原子入账；订单/账本进入个人数据导出</x:v>
      </x:c>
    </x:row>
    <x:row r="145" ht="72" customHeight="1">
      <x:c r="A145" s="13" t="str">
        <x:v>第 3 期</x:v>
      </x:c>
      <x:c r="B145" s="13" t="str">
        <x:v>4. 点数与商业化</x:v>
      </x:c>
      <x:c r="C145" s="13" t="str">
        <x:v>P3-BE-003</x:v>
      </x:c>
      <x:c r="D145" s="13" t="str">
        <x:v>Stripe / Webhook 入账</x:v>
      </x:c>
      <x:c r="E145" s="13" t="str">
        <x:v>P3-BE-003-02</x:v>
      </x:c>
      <x:c r="F145" s="13" t="str">
        <x:v>后端</x:v>
      </x:c>
      <x:c r="G145" s="13" t="str">
        <x:v>Event 去重</x:v>
      </x:c>
      <x:c r="H145" s="13" t="str">
        <x:v>Event 去重</x:v>
      </x:c>
      <x:c r="I145" s="13" t="str">
        <x:v>重复与并发请求不重复创建、扣点或入账；任一步失败可回滚并可安全重试。</x:v>
      </x:c>
      <x:c r="J145" s="13" t="str">
        <x:v>P3-BE-003-01</x:v>
      </x:c>
      <x:c r="K145" s="13" t="str">
        <x:v>待完成</x:v>
      </x:c>
      <x:c r="L145" s="13" t="str">
        <x:v>09-16～09-17</x:v>
      </x:c>
      <x:c r="M145" s="13" t="str">
        <x:v>—</x:v>
      </x:c>
      <x:c r="N145" s="13" t="str">
        <x:v>order id(UUID)+order_number(后端生成)；ledger_id(UUID)；Stripe session/payment/event ID；package/pricing version</x:v>
      </x:c>
      <x:c r="O145" s="13" t="str">
        <x:v>order: pending/paid/canceled/expired/failed/refunded；账本记录不可变，余额为快照</x:v>
      </x:c>
      <x:c r="P145" s="13" t="str">
        <x:v>套餐停用/改价、重复点击、Checkout失败、Webhook重复/乱序/伪造、金额币种不一致、退款争议</x:v>
      </x:c>
      <x:c r="Q145" s="13" t="str">
        <x:v>用户只读本人订单/账本；只有验签Webhook可入账；管理员调点需授权和审计</x:v>
      </x:c>
      <x:c r="R145" s="13" t="str">
        <x:v>(user_id,idempotency_key)防重复下单；Event ID去重；订单行锁原子入账；订单/账本进入个人数据导出</x:v>
      </x:c>
    </x:row>
    <x:row r="146" ht="72" customHeight="1">
      <x:c r="A146" s="13" t="str">
        <x:v>第 3 期</x:v>
      </x:c>
      <x:c r="B146" s="13" t="str">
        <x:v>4. 点数与商业化</x:v>
      </x:c>
      <x:c r="C146" s="13" t="str">
        <x:v>P3-BE-003</x:v>
      </x:c>
      <x:c r="D146" s="13" t="str">
        <x:v>Stripe / Webhook 入账</x:v>
      </x:c>
      <x:c r="E146" s="13" t="str">
        <x:v>P3-BE-003-03</x:v>
      </x:c>
      <x:c r="F146" s="13" t="str">
        <x:v>后端</x:v>
      </x:c>
      <x:c r="G146" s="13" t="str">
        <x:v>Webhook 入账：核对内部订单 UUID</x:v>
      </x:c>
      <x:c r="H146" s="13" t="str">
        <x:v>Webhook 入账：核对内部订单 UUID</x:v>
      </x:c>
      <x:c r="I146" s="13" t="str">
        <x:v>该条目可独立实现和验证；类型检查及对应测试通过；结果满足父任务验收标准。</x:v>
      </x:c>
      <x:c r="J146" s="13" t="str">
        <x:v>P3-BE-003-02</x:v>
      </x:c>
      <x:c r="K146" s="13" t="str">
        <x:v>待完成</x:v>
      </x:c>
      <x:c r="L146" s="13" t="str">
        <x:v>09-16～09-17</x:v>
      </x:c>
      <x:c r="M146" s="13" t="str">
        <x:v>—</x:v>
      </x:c>
      <x:c r="N146" s="13" t="str">
        <x:v>order id(UUID)+order_number(后端生成)；ledger_id(UUID)；Stripe session/payment/event ID；package/pricing version</x:v>
      </x:c>
      <x:c r="O146" s="13" t="str">
        <x:v>order: pending/paid/canceled/expired/failed/refunded；账本记录不可变，余额为快照</x:v>
      </x:c>
      <x:c r="P146" s="13" t="str">
        <x:v>套餐停用/改价、重复点击、Checkout失败、Webhook重复/乱序/伪造、金额币种不一致、退款争议</x:v>
      </x:c>
      <x:c r="Q146" s="13" t="str">
        <x:v>用户只读本人订单/账本；只有验签Webhook可入账；管理员调点需授权和审计</x:v>
      </x:c>
      <x:c r="R146" s="13" t="str">
        <x:v>(user_id,idempotency_key)防重复下单；Event ID去重；订单行锁原子入账；订单/账本进入个人数据导出</x:v>
      </x:c>
    </x:row>
    <x:row r="147" ht="72" customHeight="1">
      <x:c r="A147" s="13" t="str">
        <x:v>第 3 期</x:v>
      </x:c>
      <x:c r="B147" s="13" t="str">
        <x:v>4. 点数与商业化</x:v>
      </x:c>
      <x:c r="C147" s="13" t="str">
        <x:v>P3-BE-003</x:v>
      </x:c>
      <x:c r="D147" s="13" t="str">
        <x:v>Stripe / Webhook 入账</x:v>
      </x:c>
      <x:c r="E147" s="13" t="str">
        <x:v>P3-BE-003-04</x:v>
      </x:c>
      <x:c r="F147" s="13" t="str">
        <x:v>后端</x:v>
      </x:c>
      <x:c r="G147" s="13" t="str">
        <x:v>Webhook 入账：Session</x:v>
      </x:c>
      <x:c r="H147" s="13" t="str">
        <x:v>Webhook 入账：Session</x:v>
      </x:c>
      <x:c r="I147" s="13" t="str">
        <x:v>该条目可独立实现和验证；类型检查及对应测试通过；结果满足父任务验收标准。</x:v>
      </x:c>
      <x:c r="J147" s="13" t="str">
        <x:v>P3-BE-003-03</x:v>
      </x:c>
      <x:c r="K147" s="13" t="str">
        <x:v>待完成</x:v>
      </x:c>
      <x:c r="L147" s="13" t="str">
        <x:v>09-16～09-17</x:v>
      </x:c>
      <x:c r="M147" s="13" t="str">
        <x:v>—</x:v>
      </x:c>
      <x:c r="N147" s="13" t="str">
        <x:v>order id(UUID)+order_number(后端生成)；ledger_id(UUID)；Stripe session/payment/event ID；package/pricing version</x:v>
      </x:c>
      <x:c r="O147" s="13" t="str">
        <x:v>order: pending/paid/canceled/expired/failed/refunded；账本记录不可变，余额为快照</x:v>
      </x:c>
      <x:c r="P147" s="13" t="str">
        <x:v>套餐停用/改价、重复点击、Checkout失败、Webhook重复/乱序/伪造、金额币种不一致、退款争议</x:v>
      </x:c>
      <x:c r="Q147" s="13" t="str">
        <x:v>用户只读本人订单/账本；只有验签Webhook可入账；管理员调点需授权和审计</x:v>
      </x:c>
      <x:c r="R147" s="13" t="str">
        <x:v>(user_id,idempotency_key)防重复下单；Event ID去重；订单行锁原子入账；订单/账本进入个人数据导出</x:v>
      </x:c>
    </x:row>
    <x:row r="148" ht="72" customHeight="1">
      <x:c r="A148" s="13" t="str">
        <x:v>第 3 期</x:v>
      </x:c>
      <x:c r="B148" s="13" t="str">
        <x:v>4. 点数与商业化</x:v>
      </x:c>
      <x:c r="C148" s="13" t="str">
        <x:v>P3-BE-003</x:v>
      </x:c>
      <x:c r="D148" s="13" t="str">
        <x:v>Stripe / Webhook 入账</x:v>
      </x:c>
      <x:c r="E148" s="13" t="str">
        <x:v>P3-BE-003-05</x:v>
      </x:c>
      <x:c r="F148" s="13" t="str">
        <x:v>后端</x:v>
      </x:c>
      <x:c r="G148" s="13" t="str">
        <x:v>Webhook 入账：金额和币种</x:v>
      </x:c>
      <x:c r="H148" s="13" t="str">
        <x:v>Webhook 入账：金额和币种</x:v>
      </x:c>
      <x:c r="I148" s="13" t="str">
        <x:v>该条目可独立实现和验证；类型检查及对应测试通过；结果满足父任务验收标准。</x:v>
      </x:c>
      <x:c r="J148" s="13" t="str">
        <x:v>P3-BE-003-04</x:v>
      </x:c>
      <x:c r="K148" s="13" t="str">
        <x:v>待完成</x:v>
      </x:c>
      <x:c r="L148" s="13" t="str">
        <x:v>09-16～09-17</x:v>
      </x:c>
      <x:c r="M148" s="13" t="str">
        <x:v>—</x:v>
      </x:c>
      <x:c r="N148" s="13" t="str">
        <x:v>order id(UUID)+order_number(后端生成)；ledger_id(UUID)；Stripe session/payment/event ID；package/pricing version</x:v>
      </x:c>
      <x:c r="O148" s="13" t="str">
        <x:v>order: pending/paid/canceled/expired/failed/refunded；账本记录不可变，余额为快照</x:v>
      </x:c>
      <x:c r="P148" s="13" t="str">
        <x:v>套餐停用/改价、重复点击、Checkout失败、Webhook重复/乱序/伪造、金额币种不一致、退款争议</x:v>
      </x:c>
      <x:c r="Q148" s="13" t="str">
        <x:v>用户只读本人订单/账本；只有验签Webhook可入账；管理员调点需授权和审计</x:v>
      </x:c>
      <x:c r="R148" s="13" t="str">
        <x:v>(user_id,idempotency_key)防重复下单；Event ID去重；订单行锁原子入账；订单/账本进入个人数据导出</x:v>
      </x:c>
    </x:row>
    <x:row r="149" ht="72" customHeight="1">
      <x:c r="A149" s="13" t="str">
        <x:v>第 3 期</x:v>
      </x:c>
      <x:c r="B149" s="13" t="str">
        <x:v>4. 点数与商业化</x:v>
      </x:c>
      <x:c r="C149" s="13" t="str">
        <x:v>P3-BE-003</x:v>
      </x:c>
      <x:c r="D149" s="13" t="str">
        <x:v>Stripe / Webhook 入账</x:v>
      </x:c>
      <x:c r="E149" s="13" t="str">
        <x:v>P3-BE-003-06</x:v>
      </x:c>
      <x:c r="F149" s="13" t="str">
        <x:v>后端</x:v>
      </x:c>
      <x:c r="G149" s="13" t="str">
        <x:v>订单行锁</x:v>
      </x:c>
      <x:c r="H149" s="13" t="str">
        <x:v>订单行锁</x:v>
      </x:c>
      <x:c r="I149" s="13" t="str">
        <x:v>重复与并发请求不重复创建、扣点或入账；任一步失败可回滚并可安全重试。</x:v>
      </x:c>
      <x:c r="J149" s="13" t="str">
        <x:v>P3-BE-003-05</x:v>
      </x:c>
      <x:c r="K149" s="13" t="str">
        <x:v>待完成</x:v>
      </x:c>
      <x:c r="L149" s="13" t="str">
        <x:v>09-16～09-17</x:v>
      </x:c>
      <x:c r="M149" s="13" t="str">
        <x:v>—</x:v>
      </x:c>
      <x:c r="N149" s="13" t="str">
        <x:v>order id(UUID)+order_number(后端生成)；ledger_id(UUID)；Stripe session/payment/event ID；package/pricing version</x:v>
      </x:c>
      <x:c r="O149" s="13" t="str">
        <x:v>order: pending/paid/canceled/expired/failed/refunded；账本记录不可变，余额为快照</x:v>
      </x:c>
      <x:c r="P149" s="13" t="str">
        <x:v>套餐停用/改价、重复点击、Checkout失败、Webhook重复/乱序/伪造、金额币种不一致、退款争议</x:v>
      </x:c>
      <x:c r="Q149" s="13" t="str">
        <x:v>用户只读本人订单/账本；只有验签Webhook可入账；管理员调点需授权和审计</x:v>
      </x:c>
      <x:c r="R149" s="13" t="str">
        <x:v>(user_id,idempotency_key)防重复下单；Event ID去重；订单行锁原子入账；订单/账本进入个人数据导出</x:v>
      </x:c>
    </x:row>
    <x:row r="150" ht="72" customHeight="1">
      <x:c r="A150" s="13" t="str">
        <x:v>第 3 期</x:v>
      </x:c>
      <x:c r="B150" s="13" t="str">
        <x:v>4. 点数与商业化</x:v>
      </x:c>
      <x:c r="C150" s="13" t="str">
        <x:v>P3-BE-003</x:v>
      </x:c>
      <x:c r="D150" s="13" t="str">
        <x:v>Stripe / Webhook 入账</x:v>
      </x:c>
      <x:c r="E150" s="13" t="str">
        <x:v>P3-BE-003-07</x:v>
      </x:c>
      <x:c r="F150" s="13" t="str">
        <x:v>后端</x:v>
      </x:c>
      <x:c r="G150" s="13" t="str">
        <x:v>Webhook 入账：订单</x:v>
      </x:c>
      <x:c r="H150" s="13" t="str">
        <x:v>Webhook 入账：订单</x:v>
      </x:c>
      <x:c r="I150" s="13" t="str">
        <x:v>该条目可独立实现和验证；类型检查及对应测试通过；结果满足父任务验收标准。</x:v>
      </x:c>
      <x:c r="J150" s="13" t="str">
        <x:v>P3-BE-003-06</x:v>
      </x:c>
      <x:c r="K150" s="13" t="str">
        <x:v>待完成</x:v>
      </x:c>
      <x:c r="L150" s="13" t="str">
        <x:v>09-16～09-17</x:v>
      </x:c>
      <x:c r="M150" s="13" t="str">
        <x:v>—</x:v>
      </x:c>
      <x:c r="N150" s="13" t="str">
        <x:v>order id(UUID)+order_number(后端生成)；ledger_id(UUID)；Stripe session/payment/event ID；package/pricing version</x:v>
      </x:c>
      <x:c r="O150" s="13" t="str">
        <x:v>order: pending/paid/canceled/expired/failed/refunded；账本记录不可变，余额为快照</x:v>
      </x:c>
      <x:c r="P150" s="13" t="str">
        <x:v>套餐停用/改价、重复点击、Checkout失败、Webhook重复/乱序/伪造、金额币种不一致、退款争议</x:v>
      </x:c>
      <x:c r="Q150" s="13" t="str">
        <x:v>用户只读本人订单/账本；只有验签Webhook可入账；管理员调点需授权和审计</x:v>
      </x:c>
      <x:c r="R150" s="13" t="str">
        <x:v>(user_id,idempotency_key)防重复下单；Event ID去重；订单行锁原子入账；订单/账本进入个人数据导出</x:v>
      </x:c>
    </x:row>
    <x:row r="151" ht="72" customHeight="1">
      <x:c r="A151" s="13" t="str">
        <x:v>第 3 期</x:v>
      </x:c>
      <x:c r="B151" s="13" t="str">
        <x:v>4. 点数与商业化</x:v>
      </x:c>
      <x:c r="C151" s="13" t="str">
        <x:v>P3-BE-003</x:v>
      </x:c>
      <x:c r="D151" s="13" t="str">
        <x:v>Stripe / Webhook 入账</x:v>
      </x:c>
      <x:c r="E151" s="13" t="str">
        <x:v>P3-BE-003-08</x:v>
      </x:c>
      <x:c r="F151" s="13" t="str">
        <x:v>后端</x:v>
      </x:c>
      <x:c r="G151" s="13" t="str">
        <x:v>Webhook 入账：余额和账本同事务</x:v>
      </x:c>
      <x:c r="H151" s="13" t="str">
        <x:v>Webhook 入账：余额和账本同事务</x:v>
      </x:c>
      <x:c r="I151" s="13" t="str">
        <x:v>重复与并发请求不重复创建、扣点或入账；任一步失败可回滚并可安全重试。</x:v>
      </x:c>
      <x:c r="J151" s="13" t="str">
        <x:v>P3-BE-003-07</x:v>
      </x:c>
      <x:c r="K151" s="13" t="str">
        <x:v>待完成</x:v>
      </x:c>
      <x:c r="L151" s="13" t="str">
        <x:v>09-16～09-17</x:v>
      </x:c>
      <x:c r="M151" s="13" t="str">
        <x:v>—</x:v>
      </x:c>
      <x:c r="N151" s="13" t="str">
        <x:v>order id(UUID)+order_number(后端生成)；ledger_id(UUID)；Stripe session/payment/event ID；package/pricing version</x:v>
      </x:c>
      <x:c r="O151" s="13" t="str">
        <x:v>order: pending/paid/canceled/expired/failed/refunded；账本记录不可变，余额为快照</x:v>
      </x:c>
      <x:c r="P151" s="13" t="str">
        <x:v>套餐停用/改价、重复点击、Checkout失败、Webhook重复/乱序/伪造、金额币种不一致、退款争议</x:v>
      </x:c>
      <x:c r="Q151" s="13" t="str">
        <x:v>用户只读本人订单/账本；只有验签Webhook可入账；管理员调点需授权和审计</x:v>
      </x:c>
      <x:c r="R151" s="13" t="str">
        <x:v>(user_id,idempotency_key)防重复下单；Event ID去重；订单行锁原子入账；订单/账本进入个人数据导出</x:v>
      </x:c>
    </x:row>
    <x:row r="152" ht="72" customHeight="1">
      <x:c r="A152" s="13" t="str">
        <x:v>第 3 期</x:v>
      </x:c>
      <x:c r="B152" s="13" t="str">
        <x:v>4. 点数与商业化</x:v>
      </x:c>
      <x:c r="C152" s="13" t="str">
        <x:v>P3-BE-003</x:v>
      </x:c>
      <x:c r="D152" s="13" t="str">
        <x:v>Stripe / Webhook 入账</x:v>
      </x:c>
      <x:c r="E152" s="13" t="str">
        <x:v>P3-BE-003-09</x:v>
      </x:c>
      <x:c r="F152" s="13" t="str">
        <x:v>后端</x:v>
      </x:c>
      <x:c r="G152" s="13" t="str">
        <x:v>处理 paid/canceled/expired/failed/refunded</x:v>
      </x:c>
      <x:c r="H152" s="13" t="str">
        <x:v>处理 paid/canceled/expired/failed/refunded</x:v>
      </x:c>
      <x:c r="I152" s="13" t="str">
        <x:v>该条目可独立实现和验证；类型检查及对应测试通过；结果满足父任务验收标准。</x:v>
      </x:c>
      <x:c r="J152" s="13" t="str">
        <x:v>P3-BE-003-08</x:v>
      </x:c>
      <x:c r="K152" s="13" t="str">
        <x:v>待完成</x:v>
      </x:c>
      <x:c r="L152" s="13" t="str">
        <x:v>09-16～09-17</x:v>
      </x:c>
      <x:c r="M152" s="13" t="str">
        <x:v>—</x:v>
      </x:c>
      <x:c r="N152" s="13" t="str">
        <x:v>order id(UUID)+order_number(后端生成)；ledger_id(UUID)；Stripe session/payment/event ID；package/pricing version</x:v>
      </x:c>
      <x:c r="O152" s="13" t="str">
        <x:v>order: pending/paid/canceled/expired/failed/refunded；账本记录不可变，余额为快照</x:v>
      </x:c>
      <x:c r="P152" s="13" t="str">
        <x:v>套餐停用/改价、重复点击、Checkout失败、Webhook重复/乱序/伪造、金额币种不一致、退款争议</x:v>
      </x:c>
      <x:c r="Q152" s="13" t="str">
        <x:v>用户只读本人订单/账本；只有验签Webhook可入账；管理员调点需授权和审计</x:v>
      </x:c>
      <x:c r="R152" s="13" t="str">
        <x:v>(user_id,idempotency_key)防重复下单；Event ID去重；订单行锁原子入账；订单/账本进入个人数据导出</x:v>
      </x:c>
    </x:row>
    <x:row r="153" ht="72" customHeight="1">
      <x:c r="A153" s="13" t="str">
        <x:v>第 3 期</x:v>
      </x:c>
      <x:c r="B153" s="13" t="str">
        <x:v>4. 点数与商业化</x:v>
      </x:c>
      <x:c r="C153" s="13" t="str">
        <x:v>P3-BE-003</x:v>
      </x:c>
      <x:c r="D153" s="13" t="str">
        <x:v>Stripe / Webhook 入账</x:v>
      </x:c>
      <x:c r="E153" s="13" t="str">
        <x:v>P3-BE-003-10</x:v>
      </x:c>
      <x:c r="F153" s="13" t="str">
        <x:v>后端</x:v>
      </x:c>
      <x:c r="G153" s="13" t="str">
        <x:v>重复和乱序事件测试</x:v>
      </x:c>
      <x:c r="H153" s="13" t="str">
        <x:v>重复和乱序事件测试</x:v>
      </x:c>
      <x:c r="I153" s="13" t="str">
        <x:v>重复与并发请求不重复创建、扣点或入账；任一步失败可回滚并可安全重试。</x:v>
      </x:c>
      <x:c r="J153" s="13" t="str">
        <x:v>P3-BE-003-09</x:v>
      </x:c>
      <x:c r="K153" s="13" t="str">
        <x:v>待完成</x:v>
      </x:c>
      <x:c r="L153" s="13" t="str">
        <x:v>09-16～09-17</x:v>
      </x:c>
      <x:c r="M153" s="13" t="str">
        <x:v>—</x:v>
      </x:c>
      <x:c r="N153" s="13" t="str">
        <x:v>order id(UUID)+order_number(后端生成)；ledger_id(UUID)；Stripe session/payment/event ID；package/pricing version</x:v>
      </x:c>
      <x:c r="O153" s="13" t="str">
        <x:v>order: pending/paid/canceled/expired/failed/refunded；账本记录不可变，余额为快照</x:v>
      </x:c>
      <x:c r="P153" s="13" t="str">
        <x:v>套餐停用/改价、重复点击、Checkout失败、Webhook重复/乱序/伪造、金额币种不一致、退款争议</x:v>
      </x:c>
      <x:c r="Q153" s="13" t="str">
        <x:v>用户只读本人订单/账本；只有验签Webhook可入账；管理员调点需授权和审计</x:v>
      </x:c>
      <x:c r="R153" s="13" t="str">
        <x:v>(user_id,idempotency_key)防重复下单；Event ID去重；订单行锁原子入账；订单/账本进入个人数据导出</x:v>
      </x:c>
    </x:row>
    <x:row r="154" ht="72" customHeight="1">
      <x:c r="A154" s="13" t="str">
        <x:v>第 3 期</x:v>
      </x:c>
      <x:c r="B154" s="13" t="str">
        <x:v>2. 图标设计与生成</x:v>
      </x:c>
      <x:c r="C154" s="13" t="str">
        <x:v>P3-BE-004</x:v>
      </x:c>
      <x:c r="D154" s="13" t="str">
        <x:v>删除账户 / 30 天宽限状态机</x:v>
      </x:c>
      <x:c r="E154" s="13" t="str">
        <x:v>P3-BE-004-01</x:v>
      </x:c>
      <x:c r="F154" s="13" t="str">
        <x:v>后端</x:v>
      </x:c>
      <x:c r="G154" s="13" t="str">
        <x:v>30 天宽限状态机：申请</x:v>
      </x:c>
      <x:c r="H154" s="13" t="str">
        <x:v>30 天宽限状态机：申请</x:v>
      </x:c>
      <x:c r="I154" s="13" t="str">
        <x:v>该条目可独立实现和验证；类型检查及对应测试通过；结果满足父任务验收标准。</x:v>
      </x:c>
      <x:c r="J154" s="13" t="str">
        <x:v>—</x:v>
      </x:c>
      <x:c r="K154" s="13" t="str">
        <x:v>待完成</x:v>
      </x:c>
      <x:c r="L154" s="13" t="str">
        <x:v>09-18～09-20</x:v>
      </x:c>
      <x:c r="M154" s="13" t="str">
        <x:v>—</x:v>
      </x:c>
      <x:c r="N154" s="13" t="str">
        <x:v>job_id、subject_id、variant_id、asset_id 均为UUID；创建请求另带 idempotency_key；记录 settings/skill/model 版本</x:v>
      </x:c>
      <x:c r="O154" s="13" t="str">
        <x:v>job: queued/processing/completed/partial/failed；variant: queued/processing/completed/failed</x:v>
      </x:c>
      <x:c r="P154" s="13" t="str">
        <x:v>1–20主体、每主体3方案、余额不足、内容拦截、模型超时、部分成功、刷新恢复</x:v>
      </x:c>
      <x:c r="Q154" s="13" t="str">
        <x:v>仅本人查看任务与结果；Worker 使用服务端权限；平台API Key不下发前端</x:v>
      </x:c>
      <x:c r="R154" s="13" t="str">
        <x:v>创建+扣点同事务；每用户1个活动任务；队列重投跳过已完成variant；图片保留30天</x:v>
      </x:c>
    </x:row>
    <x:row r="155" ht="72" customHeight="1">
      <x:c r="A155" s="13" t="str">
        <x:v>第 3 期</x:v>
      </x:c>
      <x:c r="B155" s="13" t="str">
        <x:v>2. 图标设计与生成</x:v>
      </x:c>
      <x:c r="C155" s="13" t="str">
        <x:v>P3-BE-004</x:v>
      </x:c>
      <x:c r="D155" s="13" t="str">
        <x:v>删除账户 / 30 天宽限状态机</x:v>
      </x:c>
      <x:c r="E155" s="13" t="str">
        <x:v>P3-BE-004-02</x:v>
      </x:c>
      <x:c r="F155" s="13" t="str">
        <x:v>后端</x:v>
      </x:c>
      <x:c r="G155" s="13" t="str">
        <x:v>30 天宽限状态机：重新认证</x:v>
      </x:c>
      <x:c r="H155" s="13" t="str">
        <x:v>30 天宽限状态机：重新认证</x:v>
      </x:c>
      <x:c r="I155" s="13" t="str">
        <x:v>该条目可独立实现和验证；类型检查及对应测试通过；结果满足父任务验收标准。</x:v>
      </x:c>
      <x:c r="J155" s="13" t="str">
        <x:v>P3-BE-004-01</x:v>
      </x:c>
      <x:c r="K155" s="13" t="str">
        <x:v>待完成</x:v>
      </x:c>
      <x:c r="L155" s="13" t="str">
        <x:v>09-18～09-20</x:v>
      </x:c>
      <x:c r="M155" s="13" t="str">
        <x:v>—</x:v>
      </x:c>
      <x:c r="N155" s="13" t="str">
        <x:v>job_id、subject_id、variant_id、asset_id 均为UUID；创建请求另带 idempotency_key；记录 settings/skill/model 版本</x:v>
      </x:c>
      <x:c r="O155" s="13" t="str">
        <x:v>job: queued/processing/completed/partial/failed；variant: queued/processing/completed/failed</x:v>
      </x:c>
      <x:c r="P155" s="13" t="str">
        <x:v>1–20主体、每主体3方案、余额不足、内容拦截、模型超时、部分成功、刷新恢复</x:v>
      </x:c>
      <x:c r="Q155" s="13" t="str">
        <x:v>仅本人查看任务与结果；Worker 使用服务端权限；平台API Key不下发前端</x:v>
      </x:c>
      <x:c r="R155" s="13" t="str">
        <x:v>创建+扣点同事务；每用户1个活动任务；队列重投跳过已完成variant；图片保留30天</x:v>
      </x:c>
    </x:row>
    <x:row r="156" ht="72" customHeight="1">
      <x:c r="A156" s="13" t="str">
        <x:v>第 3 期</x:v>
      </x:c>
      <x:c r="B156" s="13" t="str">
        <x:v>2. 图标设计与生成</x:v>
      </x:c>
      <x:c r="C156" s="13" t="str">
        <x:v>P3-BE-004</x:v>
      </x:c>
      <x:c r="D156" s="13" t="str">
        <x:v>删除账户 / 30 天宽限状态机</x:v>
      </x:c>
      <x:c r="E156" s="13" t="str">
        <x:v>P3-BE-004-03</x:v>
      </x:c>
      <x:c r="F156" s="13" t="str">
        <x:v>后端</x:v>
      </x:c>
      <x:c r="G156" s="13" t="str">
        <x:v>30 天宽限状态机：禁止生成/支付</x:v>
      </x:c>
      <x:c r="H156" s="13" t="str">
        <x:v>30 天宽限状态机：禁止生成/支付</x:v>
      </x:c>
      <x:c r="I156" s="13" t="str">
        <x:v>该条目可独立实现和验证；类型检查及对应测试通过；结果满足父任务验收标准。</x:v>
      </x:c>
      <x:c r="J156" s="13" t="str">
        <x:v>P3-BE-004-02</x:v>
      </x:c>
      <x:c r="K156" s="13" t="str">
        <x:v>待完成</x:v>
      </x:c>
      <x:c r="L156" s="13" t="str">
        <x:v>09-18～09-20</x:v>
      </x:c>
      <x:c r="M156" s="13" t="str">
        <x:v>—</x:v>
      </x:c>
      <x:c r="N156" s="13" t="str">
        <x:v>job_id、subject_id、variant_id、asset_id 均为UUID；创建请求另带 idempotency_key；记录 settings/skill/model 版本</x:v>
      </x:c>
      <x:c r="O156" s="13" t="str">
        <x:v>job: queued/processing/completed/partial/failed；variant: queued/processing/completed/failed</x:v>
      </x:c>
      <x:c r="P156" s="13" t="str">
        <x:v>1–20主体、每主体3方案、余额不足、内容拦截、模型超时、部分成功、刷新恢复</x:v>
      </x:c>
      <x:c r="Q156" s="13" t="str">
        <x:v>仅本人查看任务与结果；Worker 使用服务端权限；平台API Key不下发前端</x:v>
      </x:c>
      <x:c r="R156" s="13" t="str">
        <x:v>创建+扣点同事务；每用户1个活动任务；队列重投跳过已完成variant；图片保留30天</x:v>
      </x:c>
    </x:row>
    <x:row r="157" ht="72" customHeight="1">
      <x:c r="A157" s="13" t="str">
        <x:v>第 3 期</x:v>
      </x:c>
      <x:c r="B157" s="13" t="str">
        <x:v>2. 图标设计与生成</x:v>
      </x:c>
      <x:c r="C157" s="13" t="str">
        <x:v>P3-BE-004</x:v>
      </x:c>
      <x:c r="D157" s="13" t="str">
        <x:v>删除账户 / 30 天宽限状态机</x:v>
      </x:c>
      <x:c r="E157" s="13" t="str">
        <x:v>P3-BE-004-04</x:v>
      </x:c>
      <x:c r="F157" s="13" t="str">
        <x:v>后端</x:v>
      </x:c>
      <x:c r="G157" s="13" t="str">
        <x:v>30 天宽限状态机：撤销</x:v>
      </x:c>
      <x:c r="H157" s="13" t="str">
        <x:v>30 天宽限状态机：撤销</x:v>
      </x:c>
      <x:c r="I157" s="13" t="str">
        <x:v>该条目可独立实现和验证；类型检查及对应测试通过；结果满足父任务验收标准。</x:v>
      </x:c>
      <x:c r="J157" s="13" t="str">
        <x:v>P3-BE-004-03</x:v>
      </x:c>
      <x:c r="K157" s="13" t="str">
        <x:v>待完成</x:v>
      </x:c>
      <x:c r="L157" s="13" t="str">
        <x:v>09-18～09-20</x:v>
      </x:c>
      <x:c r="M157" s="13" t="str">
        <x:v>—</x:v>
      </x:c>
      <x:c r="N157" s="13" t="str">
        <x:v>job_id、subject_id、variant_id、asset_id 均为UUID；创建请求另带 idempotency_key；记录 settings/skill/model 版本</x:v>
      </x:c>
      <x:c r="O157" s="13" t="str">
        <x:v>job: queued/processing/completed/partial/failed；variant: queued/processing/completed/failed</x:v>
      </x:c>
      <x:c r="P157" s="13" t="str">
        <x:v>1–20主体、每主体3方案、余额不足、内容拦截、模型超时、部分成功、刷新恢复</x:v>
      </x:c>
      <x:c r="Q157" s="13" t="str">
        <x:v>仅本人查看任务与结果；Worker 使用服务端权限；平台API Key不下发前端</x:v>
      </x:c>
      <x:c r="R157" s="13" t="str">
        <x:v>创建+扣点同事务；每用户1个活动任务；队列重投跳过已完成variant；图片保留30天</x:v>
      </x:c>
    </x:row>
    <x:row r="158" ht="72" customHeight="1">
      <x:c r="A158" s="13" t="str">
        <x:v>第 3 期</x:v>
      </x:c>
      <x:c r="B158" s="13" t="str">
        <x:v>2. 图标设计与生成</x:v>
      </x:c>
      <x:c r="C158" s="13" t="str">
        <x:v>P3-BE-004</x:v>
      </x:c>
      <x:c r="D158" s="13" t="str">
        <x:v>删除账户 / 30 天宽限状态机</x:v>
      </x:c>
      <x:c r="E158" s="13" t="str">
        <x:v>P3-BE-004-05</x:v>
      </x:c>
      <x:c r="F158" s="13" t="str">
        <x:v>后端</x:v>
      </x:c>
      <x:c r="G158" s="13" t="str">
        <x:v>30 天宽限状态机：期满清理</x:v>
      </x:c>
      <x:c r="H158" s="13" t="str">
        <x:v>30 天宽限状态机：期满清理</x:v>
      </x:c>
      <x:c r="I158" s="13" t="str">
        <x:v>该条目可独立实现和验证；类型检查及对应测试通过；结果满足父任务验收标准。</x:v>
      </x:c>
      <x:c r="J158" s="13" t="str">
        <x:v>P3-BE-004-04</x:v>
      </x:c>
      <x:c r="K158" s="13" t="str">
        <x:v>待完成</x:v>
      </x:c>
      <x:c r="L158" s="13" t="str">
        <x:v>09-18～09-20</x:v>
      </x:c>
      <x:c r="M158" s="13" t="str">
        <x:v>—</x:v>
      </x:c>
      <x:c r="N158" s="13" t="str">
        <x:v>job_id、subject_id、variant_id、asset_id 均为UUID；创建请求另带 idempotency_key；记录 settings/skill/model 版本</x:v>
      </x:c>
      <x:c r="O158" s="13" t="str">
        <x:v>job: queued/processing/completed/partial/failed；variant: queued/processing/completed/failed</x:v>
      </x:c>
      <x:c r="P158" s="13" t="str">
        <x:v>1–20主体、每主体3方案、余额不足、内容拦截、模型超时、部分成功、刷新恢复</x:v>
      </x:c>
      <x:c r="Q158" s="13" t="str">
        <x:v>仅本人查看任务与结果；Worker 使用服务端权限；平台API Key不下发前端</x:v>
      </x:c>
      <x:c r="R158" s="13" t="str">
        <x:v>创建+扣点同事务；每用户1个活动任务；队列重投跳过已完成variant；图片保留30天</x:v>
      </x:c>
    </x:row>
    <x:row r="159" ht="72" customHeight="1">
      <x:c r="A159" s="13" t="str">
        <x:v>第 3 期</x:v>
      </x:c>
      <x:c r="B159" s="13" t="str">
        <x:v>3. 作品、预览与下载</x:v>
      </x:c>
      <x:c r="C159" s="13" t="str">
        <x:v>P3-BE-005</x:v>
      </x:c>
      <x:c r="D159" s="13" t="str">
        <x:v>数据导出 / 删除前个人数据 ZIP</x:v>
      </x:c>
      <x:c r="E159" s="13" t="str">
        <x:v>P3-BE-005-01</x:v>
      </x:c>
      <x:c r="F159" s="13" t="str">
        <x:v>后端</x:v>
      </x:c>
      <x:c r="G159" s="13" t="str">
        <x:v>profile.json</x:v>
      </x:c>
      <x:c r="H159" s="13" t="str">
        <x:v>profile.json</x:v>
      </x:c>
      <x:c r="I159" s="13" t="str">
        <x:v>该条目可独立实现和验证；类型检查及对应测试通过；结果满足父任务验收标准。</x:v>
      </x:c>
      <x:c r="J159" s="13" t="str">
        <x:v>P3-BE-003,P3-BE-004</x:v>
      </x:c>
      <x:c r="K159" s="13" t="str">
        <x:v>待完成</x:v>
      </x:c>
      <x:c r="L159" s="13" t="str">
        <x:v>09-19～09-21</x:v>
      </x:c>
      <x:c r="M159" s="13" t="str">
        <x:v>—</x:v>
      </x:c>
      <x:c r="N159" s="13" t="str">
        <x:v>job/variant/asset UUID；下载归档 archive_id(UUID)；归档键由用户+选择集+尺寸形成</x:v>
      </x:c>
      <x:c r="O159" s="13" t="str">
        <x:v>asset: available/expired；archive: queued/processing/ready/failed/expired</x:v>
      </x:c>
      <x:c r="P159" s="13" t="str">
        <x:v>未选择、资源未就绪、尺寸不存在、签名URL过期、资产已清理、归档部分失败</x:v>
      </x:c>
      <x:c r="Q159" s="13" t="str">
        <x:v>单图和ZIP均校验本人所有权；私有Bucket；短时签名URL</x:v>
      </x:c>
      <x:c r="R159" s="13" t="str">
        <x:v>相同选择集24小时内复用归档；作品30天、归档24小时；有效PNG进入删除账户导出</x:v>
      </x:c>
    </x:row>
    <x:row r="160" ht="72" customHeight="1">
      <x:c r="A160" s="13" t="str">
        <x:v>第 3 期</x:v>
      </x:c>
      <x:c r="B160" s="13" t="str">
        <x:v>3. 作品、预览与下载</x:v>
      </x:c>
      <x:c r="C160" s="13" t="str">
        <x:v>P3-BE-005</x:v>
      </x:c>
      <x:c r="D160" s="13" t="str">
        <x:v>数据导出 / 删除前个人数据 ZIP</x:v>
      </x:c>
      <x:c r="E160" s="13" t="str">
        <x:v>P3-BE-005-02</x:v>
      </x:c>
      <x:c r="F160" s="13" t="str">
        <x:v>后端</x:v>
      </x:c>
      <x:c r="G160" s="13" t="str">
        <x:v>带业务订单号和价格快照的 orders.csv</x:v>
      </x:c>
      <x:c r="H160" s="13" t="str">
        <x:v>带业务订单号和价格快照的 orders.csv</x:v>
      </x:c>
      <x:c r="I160" s="13" t="str">
        <x:v>该条目可独立实现和验证；类型检查及对应测试通过；结果满足父任务验收标准。</x:v>
      </x:c>
      <x:c r="J160" s="13" t="str">
        <x:v>P3-BE-005-01</x:v>
      </x:c>
      <x:c r="K160" s="13" t="str">
        <x:v>待完成</x:v>
      </x:c>
      <x:c r="L160" s="13" t="str">
        <x:v>09-19～09-21</x:v>
      </x:c>
      <x:c r="M160" s="13" t="str">
        <x:v>—</x:v>
      </x:c>
      <x:c r="N160" s="13" t="str">
        <x:v>job/variant/asset UUID；下载归档 archive_id(UUID)；归档键由用户+选择集+尺寸形成</x:v>
      </x:c>
      <x:c r="O160" s="13" t="str">
        <x:v>asset: available/expired；archive: queued/processing/ready/failed/expired</x:v>
      </x:c>
      <x:c r="P160" s="13" t="str">
        <x:v>未选择、资源未就绪、尺寸不存在、签名URL过期、资产已清理、归档部分失败</x:v>
      </x:c>
      <x:c r="Q160" s="13" t="str">
        <x:v>单图和ZIP均校验本人所有权；私有Bucket；短时签名URL</x:v>
      </x:c>
      <x:c r="R160" s="13" t="str">
        <x:v>相同选择集24小时内复用归档；作品30天、归档24小时；有效PNG进入删除账户导出</x:v>
      </x:c>
    </x:row>
    <x:row r="161" ht="72" customHeight="1">
      <x:c r="A161" s="13" t="str">
        <x:v>第 3 期</x:v>
      </x:c>
      <x:c r="B161" s="13" t="str">
        <x:v>3. 作品、预览与下载</x:v>
      </x:c>
      <x:c r="C161" s="13" t="str">
        <x:v>P3-BE-005</x:v>
      </x:c>
      <x:c r="D161" s="13" t="str">
        <x:v>数据导出 / 删除前个人数据 ZIP</x:v>
      </x:c>
      <x:c r="E161" s="13" t="str">
        <x:v>P3-BE-005-03</x:v>
      </x:c>
      <x:c r="F161" s="13" t="str">
        <x:v>后端</x:v>
      </x:c>
      <x:c r="G161" s="13" t="str">
        <x:v>credit-ledger.csv</x:v>
      </x:c>
      <x:c r="H161" s="13" t="str">
        <x:v>credit-ledger.csv</x:v>
      </x:c>
      <x:c r="I161" s="13" t="str">
        <x:v>该条目可独立实现和验证；类型检查及对应测试通过；结果满足父任务验收标准。</x:v>
      </x:c>
      <x:c r="J161" s="13" t="str">
        <x:v>P3-BE-005-02</x:v>
      </x:c>
      <x:c r="K161" s="13" t="str">
        <x:v>待完成</x:v>
      </x:c>
      <x:c r="L161" s="13" t="str">
        <x:v>09-19～09-21</x:v>
      </x:c>
      <x:c r="M161" s="13" t="str">
        <x:v>—</x:v>
      </x:c>
      <x:c r="N161" s="13" t="str">
        <x:v>job/variant/asset UUID；下载归档 archive_id(UUID)；归档键由用户+选择集+尺寸形成</x:v>
      </x:c>
      <x:c r="O161" s="13" t="str">
        <x:v>asset: available/expired；archive: queued/processing/ready/failed/expired</x:v>
      </x:c>
      <x:c r="P161" s="13" t="str">
        <x:v>未选择、资源未就绪、尺寸不存在、签名URL过期、资产已清理、归档部分失败</x:v>
      </x:c>
      <x:c r="Q161" s="13" t="str">
        <x:v>单图和ZIP均校验本人所有权；私有Bucket；短时签名URL</x:v>
      </x:c>
      <x:c r="R161" s="13" t="str">
        <x:v>相同选择集24小时内复用归档；作品30天、归档24小时；有效PNG进入删除账户导出</x:v>
      </x:c>
    </x:row>
    <x:row r="162" ht="72" customHeight="1">
      <x:c r="A162" s="13" t="str">
        <x:v>第 3 期</x:v>
      </x:c>
      <x:c r="B162" s="13" t="str">
        <x:v>3. 作品、预览与下载</x:v>
      </x:c>
      <x:c r="C162" s="13" t="str">
        <x:v>P3-BE-005</x:v>
      </x:c>
      <x:c r="D162" s="13" t="str">
        <x:v>数据导出 / 删除前个人数据 ZIP</x:v>
      </x:c>
      <x:c r="E162" s="13" t="str">
        <x:v>P3-BE-005-04</x:v>
      </x:c>
      <x:c r="F162" s="13" t="str">
        <x:v>后端</x:v>
      </x:c>
      <x:c r="G162" s="13" t="str">
        <x:v>从订单+账本计算 billing-summary.json</x:v>
      </x:c>
      <x:c r="H162" s="13" t="str">
        <x:v>从订单+账本计算 billing-summary.json</x:v>
      </x:c>
      <x:c r="I162" s="13" t="str">
        <x:v>该条目可独立实现和验证；类型检查及对应测试通过；结果满足父任务验收标准。</x:v>
      </x:c>
      <x:c r="J162" s="13" t="str">
        <x:v>P3-BE-005-03</x:v>
      </x:c>
      <x:c r="K162" s="13" t="str">
        <x:v>待完成</x:v>
      </x:c>
      <x:c r="L162" s="13" t="str">
        <x:v>09-19～09-21</x:v>
      </x:c>
      <x:c r="M162" s="13" t="str">
        <x:v>—</x:v>
      </x:c>
      <x:c r="N162" s="13" t="str">
        <x:v>job/variant/asset UUID；下载归档 archive_id(UUID)；归档键由用户+选择集+尺寸形成</x:v>
      </x:c>
      <x:c r="O162" s="13" t="str">
        <x:v>asset: available/expired；archive: queued/processing/ready/failed/expired</x:v>
      </x:c>
      <x:c r="P162" s="13" t="str">
        <x:v>未选择、资源未就绪、尺寸不存在、签名URL过期、资产已清理、归档部分失败</x:v>
      </x:c>
      <x:c r="Q162" s="13" t="str">
        <x:v>单图和ZIP均校验本人所有权；私有Bucket；短时签名URL</x:v>
      </x:c>
      <x:c r="R162" s="13" t="str">
        <x:v>相同选择集24小时内复用归档；作品30天、归档24小时；有效PNG进入删除账户导出</x:v>
      </x:c>
    </x:row>
    <x:row r="163" ht="72" customHeight="1">
      <x:c r="A163" s="13" t="str">
        <x:v>第 3 期</x:v>
      </x:c>
      <x:c r="B163" s="13" t="str">
        <x:v>3. 作品、预览与下载</x:v>
      </x:c>
      <x:c r="C163" s="13" t="str">
        <x:v>P3-BE-005</x:v>
      </x:c>
      <x:c r="D163" s="13" t="str">
        <x:v>数据导出 / 删除前个人数据 ZIP</x:v>
      </x:c>
      <x:c r="E163" s="13" t="str">
        <x:v>P3-BE-005-05</x:v>
      </x:c>
      <x:c r="F163" s="13" t="str">
        <x:v>后端</x:v>
      </x:c>
      <x:c r="G163" s="13" t="str">
        <x:v>有效 PNG 与 manifest</x:v>
      </x:c>
      <x:c r="H163" s="13" t="str">
        <x:v>有效 PNG 与 manifest</x:v>
      </x:c>
      <x:c r="I163" s="13" t="str">
        <x:v>输出文件格式、数量、尺寸、透明/背景规则和所有权校验符合 PRD；失败可追踪。</x:v>
      </x:c>
      <x:c r="J163" s="13" t="str">
        <x:v>P3-BE-005-04</x:v>
      </x:c>
      <x:c r="K163" s="13" t="str">
        <x:v>待完成</x:v>
      </x:c>
      <x:c r="L163" s="13" t="str">
        <x:v>09-19～09-21</x:v>
      </x:c>
      <x:c r="M163" s="13" t="str">
        <x:v>—</x:v>
      </x:c>
      <x:c r="N163" s="13" t="str">
        <x:v>job/variant/asset UUID；下载归档 archive_id(UUID)；归档键由用户+选择集+尺寸形成</x:v>
      </x:c>
      <x:c r="O163" s="13" t="str">
        <x:v>asset: available/expired；archive: queued/processing/ready/failed/expired</x:v>
      </x:c>
      <x:c r="P163" s="13" t="str">
        <x:v>未选择、资源未就绪、尺寸不存在、签名URL过期、资产已清理、归档部分失败</x:v>
      </x:c>
      <x:c r="Q163" s="13" t="str">
        <x:v>单图和ZIP均校验本人所有权；私有Bucket；短时签名URL</x:v>
      </x:c>
      <x:c r="R163" s="13" t="str">
        <x:v>相同选择集24小时内复用归档；作品30天、归档24小时；有效PNG进入删除账户导出</x:v>
      </x:c>
    </x:row>
    <x:row r="164" ht="72" customHeight="1">
      <x:c r="A164" s="13" t="str">
        <x:v>第 3 期</x:v>
      </x:c>
      <x:c r="B164" s="13" t="str">
        <x:v>3. 作品、预览与下载</x:v>
      </x:c>
      <x:c r="C164" s="13" t="str">
        <x:v>P3-BE-005</x:v>
      </x:c>
      <x:c r="D164" s="13" t="str">
        <x:v>数据导出 / 删除前个人数据 ZIP</x:v>
      </x:c>
      <x:c r="E164" s="13" t="str">
        <x:v>P3-BE-005-06</x:v>
      </x:c>
      <x:c r="F164" s="13" t="str">
        <x:v>后端</x:v>
      </x:c>
      <x:c r="G164" s="13" t="str">
        <x:v>异步</x:v>
      </x:c>
      <x:c r="H164" s="13" t="str">
        <x:v>异步</x:v>
      </x:c>
      <x:c r="I164" s="13" t="str">
        <x:v>该条目可独立实现和验证；类型检查及对应测试通过；结果满足父任务验收标准。</x:v>
      </x:c>
      <x:c r="J164" s="13" t="str">
        <x:v>P3-BE-005-05</x:v>
      </x:c>
      <x:c r="K164" s="13" t="str">
        <x:v>待完成</x:v>
      </x:c>
      <x:c r="L164" s="13" t="str">
        <x:v>09-19～09-21</x:v>
      </x:c>
      <x:c r="M164" s="13" t="str">
        <x:v>—</x:v>
      </x:c>
      <x:c r="N164" s="13" t="str">
        <x:v>job/variant/asset UUID；下载归档 archive_id(UUID)；归档键由用户+选择集+尺寸形成</x:v>
      </x:c>
      <x:c r="O164" s="13" t="str">
        <x:v>asset: available/expired；archive: queued/processing/ready/failed/expired</x:v>
      </x:c>
      <x:c r="P164" s="13" t="str">
        <x:v>未选择、资源未就绪、尺寸不存在、签名URL过期、资产已清理、归档部分失败</x:v>
      </x:c>
      <x:c r="Q164" s="13" t="str">
        <x:v>单图和ZIP均校验本人所有权；私有Bucket；短时签名URL</x:v>
      </x:c>
      <x:c r="R164" s="13" t="str">
        <x:v>相同选择集24小时内复用归档；作品30天、归档24小时；有效PNG进入删除账户导出</x:v>
      </x:c>
    </x:row>
    <x:row r="165" ht="72" customHeight="1">
      <x:c r="A165" s="13" t="str">
        <x:v>第 3 期</x:v>
      </x:c>
      <x:c r="B165" s="13" t="str">
        <x:v>3. 作品、预览与下载</x:v>
      </x:c>
      <x:c r="C165" s="13" t="str">
        <x:v>P3-BE-005</x:v>
      </x:c>
      <x:c r="D165" s="13" t="str">
        <x:v>数据导出 / 删除前个人数据 ZIP</x:v>
      </x:c>
      <x:c r="E165" s="13" t="str">
        <x:v>P3-BE-005-07</x:v>
      </x:c>
      <x:c r="F165" s="13" t="str">
        <x:v>后端</x:v>
      </x:c>
      <x:c r="G165" s="13" t="str">
        <x:v>24 小时</x:v>
      </x:c>
      <x:c r="H165" s="13" t="str">
        <x:v>24 小时</x:v>
      </x:c>
      <x:c r="I165" s="13" t="str">
        <x:v>该条目可独立实现和验证；类型检查及对应测试通过；结果满足父任务验收标准。</x:v>
      </x:c>
      <x:c r="J165" s="13" t="str">
        <x:v>P3-BE-005-06</x:v>
      </x:c>
      <x:c r="K165" s="13" t="str">
        <x:v>待完成</x:v>
      </x:c>
      <x:c r="L165" s="13" t="str">
        <x:v>09-19～09-21</x:v>
      </x:c>
      <x:c r="M165" s="13" t="str">
        <x:v>—</x:v>
      </x:c>
      <x:c r="N165" s="13" t="str">
        <x:v>job/variant/asset UUID；下载归档 archive_id(UUID)；归档键由用户+选择集+尺寸形成</x:v>
      </x:c>
      <x:c r="O165" s="13" t="str">
        <x:v>asset: available/expired；archive: queued/processing/ready/failed/expired</x:v>
      </x:c>
      <x:c r="P165" s="13" t="str">
        <x:v>未选择、资源未就绪、尺寸不存在、签名URL过期、资产已清理、归档部分失败</x:v>
      </x:c>
      <x:c r="Q165" s="13" t="str">
        <x:v>单图和ZIP均校验本人所有权；私有Bucket；短时签名URL</x:v>
      </x:c>
      <x:c r="R165" s="13" t="str">
        <x:v>相同选择集24小时内复用归档；作品30天、归档24小时；有效PNG进入删除账户导出</x:v>
      </x:c>
    </x:row>
    <x:row r="166" ht="72" customHeight="1">
      <x:c r="A166" s="13" t="str">
        <x:v>第 3 期</x:v>
      </x:c>
      <x:c r="B166" s="13" t="str">
        <x:v>3. 作品、预览与下载</x:v>
      </x:c>
      <x:c r="C166" s="13" t="str">
        <x:v>P3-BE-005</x:v>
      </x:c>
      <x:c r="D166" s="13" t="str">
        <x:v>数据导出 / 删除前个人数据 ZIP</x:v>
      </x:c>
      <x:c r="E166" s="13" t="str">
        <x:v>P3-BE-005-08</x:v>
      </x:c>
      <x:c r="F166" s="13" t="str">
        <x:v>后端</x:v>
      </x:c>
      <x:c r="G166" s="13" t="str">
        <x:v>所有权校验</x:v>
      </x:c>
      <x:c r="H166" s="13" t="str">
        <x:v>所有权校验</x:v>
      </x:c>
      <x:c r="I166" s="13" t="str">
        <x:v>允许与拒绝场景均有自动化测试；敏感信息不进入浏览器、日志或导出文件。</x:v>
      </x:c>
      <x:c r="J166" s="13" t="str">
        <x:v>P3-BE-005-07</x:v>
      </x:c>
      <x:c r="K166" s="13" t="str">
        <x:v>待完成</x:v>
      </x:c>
      <x:c r="L166" s="13" t="str">
        <x:v>09-19～09-21</x:v>
      </x:c>
      <x:c r="M166" s="13" t="str">
        <x:v>—</x:v>
      </x:c>
      <x:c r="N166" s="13" t="str">
        <x:v>job/variant/asset UUID；下载归档 archive_id(UUID)；归档键由用户+选择集+尺寸形成</x:v>
      </x:c>
      <x:c r="O166" s="13" t="str">
        <x:v>asset: available/expired；archive: queued/processing/ready/failed/expired</x:v>
      </x:c>
      <x:c r="P166" s="13" t="str">
        <x:v>未选择、资源未就绪、尺寸不存在、签名URL过期、资产已清理、归档部分失败</x:v>
      </x:c>
      <x:c r="Q166" s="13" t="str">
        <x:v>单图和ZIP均校验本人所有权；私有Bucket；短时签名URL</x:v>
      </x:c>
      <x:c r="R166" s="13" t="str">
        <x:v>相同选择集24小时内复用归档；作品30天、归档24小时；有效PNG进入删除账户导出</x:v>
      </x:c>
    </x:row>
    <x:row r="167" ht="72" customHeight="1">
      <x:c r="A167" s="13" t="str">
        <x:v>第 3 期</x:v>
      </x:c>
      <x:c r="B167" s="13" t="str">
        <x:v>4. 点数与商业化</x:v>
      </x:c>
      <x:c r="C167" s="13" t="str">
        <x:v>P3-BE-006</x:v>
      </x:c>
      <x:c r="D167" s="13" t="str">
        <x:v>最小运营 / 受保护运营 API</x:v>
      </x:c>
      <x:c r="E167" s="13" t="str">
        <x:v>P3-BE-006-01</x:v>
      </x:c>
      <x:c r="F167" s="13" t="str">
        <x:v>后端</x:v>
      </x:c>
      <x:c r="G167" s="13" t="str">
        <x:v>受保护运营 API：任务查询/重试</x:v>
      </x:c>
      <x:c r="H167" s="13" t="str">
        <x:v>受保护运营 API：任务查询/重试</x:v>
      </x:c>
      <x:c r="I167" s="13" t="str">
        <x:v>请求、成功响应和稳定错误码均有测试；鉴权与越权场景通过；接口文档可供联调。</x:v>
      </x:c>
      <x:c r="J167" s="13" t="str">
        <x:v>—</x:v>
      </x:c>
      <x:c r="K167" s="13" t="str">
        <x:v>待完成</x:v>
      </x:c>
      <x:c r="L167" s="13" t="str">
        <x:v>09-20～09-22</x:v>
      </x:c>
      <x:c r="M167" s="13" t="str">
        <x:v>—</x:v>
      </x:c>
      <x:c r="N167" s="13" t="str">
        <x:v>order id(UUID)+order_number(后端生成)；ledger_id(UUID)；Stripe session/payment/event ID；package/pricing version</x:v>
      </x:c>
      <x:c r="O167" s="13" t="str">
        <x:v>order: pending/paid/canceled/expired/failed/refunded；账本记录不可变，余额为快照</x:v>
      </x:c>
      <x:c r="P167" s="13" t="str">
        <x:v>套餐停用/改价、重复点击、Checkout失败、Webhook重复/乱序/伪造、金额币种不一致、退款争议</x:v>
      </x:c>
      <x:c r="Q167" s="13" t="str">
        <x:v>用户只读本人订单/账本；只有验签Webhook可入账；管理员调点需授权和审计</x:v>
      </x:c>
      <x:c r="R167" s="13" t="str">
        <x:v>(user_id,idempotency_key)防重复下单；Event ID去重；订单行锁原子入账；订单/账本进入个人数据导出</x:v>
      </x:c>
    </x:row>
    <x:row r="168" ht="72" customHeight="1">
      <x:c r="A168" s="13" t="str">
        <x:v>第 3 期</x:v>
      </x:c>
      <x:c r="B168" s="13" t="str">
        <x:v>4. 点数与商业化</x:v>
      </x:c>
      <x:c r="C168" s="13" t="str">
        <x:v>P3-BE-006</x:v>
      </x:c>
      <x:c r="D168" s="13" t="str">
        <x:v>最小运营 / 受保护运营 API</x:v>
      </x:c>
      <x:c r="E168" s="13" t="str">
        <x:v>P3-BE-006-02</x:v>
      </x:c>
      <x:c r="F168" s="13" t="str">
        <x:v>后端</x:v>
      </x:c>
      <x:c r="G168" s="13" t="str">
        <x:v>受保护运营 API：订单/Webhook 查询</x:v>
      </x:c>
      <x:c r="H168" s="13" t="str">
        <x:v>受保护运营 API：订单/Webhook 查询</x:v>
      </x:c>
      <x:c r="I168" s="13" t="str">
        <x:v>请求、成功响应和稳定错误码均有测试；鉴权与越权场景通过；接口文档可供联调。</x:v>
      </x:c>
      <x:c r="J168" s="13" t="str">
        <x:v>P3-BE-006-01</x:v>
      </x:c>
      <x:c r="K168" s="13" t="str">
        <x:v>待完成</x:v>
      </x:c>
      <x:c r="L168" s="13" t="str">
        <x:v>09-20～09-22</x:v>
      </x:c>
      <x:c r="M168" s="13" t="str">
        <x:v>—</x:v>
      </x:c>
      <x:c r="N168" s="13" t="str">
        <x:v>order id(UUID)+order_number(后端生成)；ledger_id(UUID)；Stripe session/payment/event ID；package/pricing version</x:v>
      </x:c>
      <x:c r="O168" s="13" t="str">
        <x:v>order: pending/paid/canceled/expired/failed/refunded；账本记录不可变，余额为快照</x:v>
      </x:c>
      <x:c r="P168" s="13" t="str">
        <x:v>套餐停用/改价、重复点击、Checkout失败、Webhook重复/乱序/伪造、金额币种不一致、退款争议</x:v>
      </x:c>
      <x:c r="Q168" s="13" t="str">
        <x:v>用户只读本人订单/账本；只有验签Webhook可入账；管理员调点需授权和审计</x:v>
      </x:c>
      <x:c r="R168" s="13" t="str">
        <x:v>(user_id,idempotency_key)防重复下单；Event ID去重；订单行锁原子入账；订单/账本进入个人数据导出</x:v>
      </x:c>
    </x:row>
    <x:row r="169" ht="72" customHeight="1">
      <x:c r="A169" s="13" t="str">
        <x:v>第 3 期</x:v>
      </x:c>
      <x:c r="B169" s="13" t="str">
        <x:v>4. 点数与商业化</x:v>
      </x:c>
      <x:c r="C169" s="13" t="str">
        <x:v>P3-BE-006</x:v>
      </x:c>
      <x:c r="D169" s="13" t="str">
        <x:v>最小运营 / 受保护运营 API</x:v>
      </x:c>
      <x:c r="E169" s="13" t="str">
        <x:v>P3-BE-006-03</x:v>
      </x:c>
      <x:c r="F169" s="13" t="str">
        <x:v>后端</x:v>
      </x:c>
      <x:c r="G169" s="13" t="str">
        <x:v>受保护运营 API：人工调点和审计</x:v>
      </x:c>
      <x:c r="H169" s="13" t="str">
        <x:v>受保护运营 API：人工调点和审计</x:v>
      </x:c>
      <x:c r="I169" s="13" t="str">
        <x:v>请求、成功响应和稳定错误码均有测试；鉴权与越权场景通过；接口文档可供联调。</x:v>
      </x:c>
      <x:c r="J169" s="13" t="str">
        <x:v>P3-BE-006-02</x:v>
      </x:c>
      <x:c r="K169" s="13" t="str">
        <x:v>待完成</x:v>
      </x:c>
      <x:c r="L169" s="13" t="str">
        <x:v>09-20～09-22</x:v>
      </x:c>
      <x:c r="M169" s="13" t="str">
        <x:v>—</x:v>
      </x:c>
      <x:c r="N169" s="13" t="str">
        <x:v>order id(UUID)+order_number(后端生成)；ledger_id(UUID)；Stripe session/payment/event ID；package/pricing version</x:v>
      </x:c>
      <x:c r="O169" s="13" t="str">
        <x:v>order: pending/paid/canceled/expired/failed/refunded；账本记录不可变，余额为快照</x:v>
      </x:c>
      <x:c r="P169" s="13" t="str">
        <x:v>套餐停用/改价、重复点击、Checkout失败、Webhook重复/乱序/伪造、金额币种不一致、退款争议</x:v>
      </x:c>
      <x:c r="Q169" s="13" t="str">
        <x:v>用户只读本人订单/账本；只有验签Webhook可入账；管理员调点需授权和审计</x:v>
      </x:c>
      <x:c r="R169" s="13" t="str">
        <x:v>(user_id,idempotency_key)防重复下单；Event ID去重；订单行锁原子入账；订单/账本进入个人数据导出</x:v>
      </x:c>
    </x:row>
    <x:row r="170" ht="72" customHeight="1">
      <x:c r="A170" s="13" t="str">
        <x:v>第 3 期</x:v>
      </x:c>
      <x:c r="B170" s="13" t="str">
        <x:v>6. 平台、工程与上线</x:v>
      </x:c>
      <x:c r="C170" s="13" t="str">
        <x:v>P3-INF-001</x:v>
      </x:c>
      <x:c r="D170" s="13" t="str">
        <x:v>部署 / Web 与数据部署</x:v>
      </x:c>
      <x:c r="E170" s="13" t="str">
        <x:v>P3-INF-001-01</x:v>
      </x:c>
      <x:c r="F170" s="13" t="str">
        <x:v>后端</x:v>
      </x:c>
      <x:c r="G170" s="13" t="str">
        <x:v>Web 与数据部署：Vercel</x:v>
      </x:c>
      <x:c r="H170" s="13" t="str">
        <x:v>Web 与数据部署：Vercel</x:v>
      </x:c>
      <x:c r="I170" s="13" t="str">
        <x:v>测试与生产配置隔离；部署可重复；健康检查、告警和回滚步骤验证通过。</x:v>
      </x:c>
      <x:c r="J170" s="13" t="str">
        <x:v>—</x:v>
      </x:c>
      <x:c r="K170" s="13" t="str">
        <x:v>待完成</x:v>
      </x:c>
      <x:c r="L170" s="13" t="str">
        <x:v>09-22～09-24</x:v>
      </x:c>
      <x:c r="M170" s="13" t="str">
        <x:v>—</x:v>
      </x:c>
      <x:c r="N170" s="13" t="str">
        <x:v>配置版本、Skill版本、模型名、部署版本、provider request ID和环境标识</x:v>
      </x:c>
      <x:c r="O170" s="13" t="str">
        <x:v>部署/服务 health状态；配置启用/停用；队列消息 queued/processing/DLQ</x:v>
      </x:c>
      <x:c r="P170" s="13" t="str">
        <x:v>配置缺失、密钥无效、限流、部署失败、队列积压、定时任务重复执行</x:v>
      </x:c>
      <x:c r="Q170" s="13" t="str">
        <x:v>环境与密钥隔离；最小权限；生产操作留审计；日志脱敏</x:v>
      </x:c>
      <x:c r="R170" s="13" t="str">
        <x:v>部署可回滚；Worker/清理任务可重入；密钥不入库不导出；日志按合规期限保留</x:v>
      </x:c>
    </x:row>
    <x:row r="171" ht="72" customHeight="1">
      <x:c r="A171" s="13" t="str">
        <x:v>第 3 期</x:v>
      </x:c>
      <x:c r="B171" s="13" t="str">
        <x:v>6. 平台、工程与上线</x:v>
      </x:c>
      <x:c r="C171" s="13" t="str">
        <x:v>P3-INF-001</x:v>
      </x:c>
      <x:c r="D171" s="13" t="str">
        <x:v>部署 / Web 与数据部署</x:v>
      </x:c>
      <x:c r="E171" s="13" t="str">
        <x:v>P3-INF-001-02</x:v>
      </x:c>
      <x:c r="F171" s="13" t="str">
        <x:v>后端</x:v>
      </x:c>
      <x:c r="G171" s="13" t="str">
        <x:v>Web 与数据部署：Supabase 生产项目</x:v>
      </x:c>
      <x:c r="H171" s="13" t="str">
        <x:v>Web 与数据部署：Supabase 生产项目</x:v>
      </x:c>
      <x:c r="I171" s="13" t="str">
        <x:v>测试与生产配置隔离；部署可重复；健康检查、告警和回滚步骤验证通过。</x:v>
      </x:c>
      <x:c r="J171" s="13" t="str">
        <x:v>P3-INF-001-01</x:v>
      </x:c>
      <x:c r="K171" s="13" t="str">
        <x:v>待完成</x:v>
      </x:c>
      <x:c r="L171" s="13" t="str">
        <x:v>09-22～09-24</x:v>
      </x:c>
      <x:c r="M171" s="13" t="str">
        <x:v>—</x:v>
      </x:c>
      <x:c r="N171" s="13" t="str">
        <x:v>配置版本、Skill版本、模型名、部署版本、provider request ID和环境标识</x:v>
      </x:c>
      <x:c r="O171" s="13" t="str">
        <x:v>部署/服务 health状态；配置启用/停用；队列消息 queued/processing/DLQ</x:v>
      </x:c>
      <x:c r="P171" s="13" t="str">
        <x:v>配置缺失、密钥无效、限流、部署失败、队列积压、定时任务重复执行</x:v>
      </x:c>
      <x:c r="Q171" s="13" t="str">
        <x:v>环境与密钥隔离；最小权限；生产操作留审计；日志脱敏</x:v>
      </x:c>
      <x:c r="R171" s="13" t="str">
        <x:v>部署可回滚；Worker/清理任务可重入；密钥不入库不导出；日志按合规期限保留</x:v>
      </x:c>
    </x:row>
    <x:row r="172" ht="72" customHeight="1">
      <x:c r="A172" s="13" t="str">
        <x:v>第 3 期</x:v>
      </x:c>
      <x:c r="B172" s="13" t="str">
        <x:v>6. 平台、工程与上线</x:v>
      </x:c>
      <x:c r="C172" s="13" t="str">
        <x:v>P3-INF-001</x:v>
      </x:c>
      <x:c r="D172" s="13" t="str">
        <x:v>部署 / Web 与数据部署</x:v>
      </x:c>
      <x:c r="E172" s="13" t="str">
        <x:v>P3-INF-001-03</x:v>
      </x:c>
      <x:c r="F172" s="13" t="str">
        <x:v>后端</x:v>
      </x:c>
      <x:c r="G172" s="13" t="str">
        <x:v>Web 与数据部署：私有 Bucket</x:v>
      </x:c>
      <x:c r="H172" s="13" t="str">
        <x:v>Web 与数据部署：私有 Bucket</x:v>
      </x:c>
      <x:c r="I172" s="13" t="str">
        <x:v>测试与生产配置隔离；部署可重复；健康检查、告警和回滚步骤验证通过。</x:v>
      </x:c>
      <x:c r="J172" s="13" t="str">
        <x:v>P3-INF-001-02</x:v>
      </x:c>
      <x:c r="K172" s="13" t="str">
        <x:v>待完成</x:v>
      </x:c>
      <x:c r="L172" s="13" t="str">
        <x:v>09-22～09-24</x:v>
      </x:c>
      <x:c r="M172" s="13" t="str">
        <x:v>—</x:v>
      </x:c>
      <x:c r="N172" s="13" t="str">
        <x:v>配置版本、Skill版本、模型名、部署版本、provider request ID和环境标识</x:v>
      </x:c>
      <x:c r="O172" s="13" t="str">
        <x:v>部署/服务 health状态；配置启用/停用；队列消息 queued/processing/DLQ</x:v>
      </x:c>
      <x:c r="P172" s="13" t="str">
        <x:v>配置缺失、密钥无效、限流、部署失败、队列积压、定时任务重复执行</x:v>
      </x:c>
      <x:c r="Q172" s="13" t="str">
        <x:v>环境与密钥隔离；最小权限；生产操作留审计；日志脱敏</x:v>
      </x:c>
      <x:c r="R172" s="13" t="str">
        <x:v>部署可回滚；Worker/清理任务可重入；密钥不入库不导出；日志按合规期限保留</x:v>
      </x:c>
    </x:row>
    <x:row r="173" ht="72" customHeight="1">
      <x:c r="A173" s="13" t="str">
        <x:v>第 3 期</x:v>
      </x:c>
      <x:c r="B173" s="13" t="str">
        <x:v>6. 平台、工程与上线</x:v>
      </x:c>
      <x:c r="C173" s="13" t="str">
        <x:v>P3-INF-001</x:v>
      </x:c>
      <x:c r="D173" s="13" t="str">
        <x:v>部署 / Web 与数据部署</x:v>
      </x:c>
      <x:c r="E173" s="13" t="str">
        <x:v>P3-INF-001-04</x:v>
      </x:c>
      <x:c r="F173" s="13" t="str">
        <x:v>后端</x:v>
      </x:c>
      <x:c r="G173" s="13" t="str">
        <x:v>Web 与数据部署：环境变量和域名</x:v>
      </x:c>
      <x:c r="H173" s="13" t="str">
        <x:v>Web 与数据部署：环境变量和域名</x:v>
      </x:c>
      <x:c r="I173" s="13" t="str">
        <x:v>测试与生产配置隔离；部署可重复；健康检查、告警和回滚步骤验证通过。</x:v>
      </x:c>
      <x:c r="J173" s="13" t="str">
        <x:v>P3-INF-001-03</x:v>
      </x:c>
      <x:c r="K173" s="13" t="str">
        <x:v>待完成</x:v>
      </x:c>
      <x:c r="L173" s="13" t="str">
        <x:v>09-22～09-24</x:v>
      </x:c>
      <x:c r="M173" s="13" t="str">
        <x:v>—</x:v>
      </x:c>
      <x:c r="N173" s="13" t="str">
        <x:v>配置版本、Skill版本、模型名、部署版本、provider request ID和环境标识</x:v>
      </x:c>
      <x:c r="O173" s="13" t="str">
        <x:v>部署/服务 health状态；配置启用/停用；队列消息 queued/processing/DLQ</x:v>
      </x:c>
      <x:c r="P173" s="13" t="str">
        <x:v>配置缺失、密钥无效、限流、部署失败、队列积压、定时任务重复执行</x:v>
      </x:c>
      <x:c r="Q173" s="13" t="str">
        <x:v>环境与密钥隔离；最小权限；生产操作留审计；日志脱敏</x:v>
      </x:c>
      <x:c r="R173" s="13" t="str">
        <x:v>部署可回滚；Worker/清理任务可重入；密钥不入库不导出；日志按合规期限保留</x:v>
      </x:c>
    </x:row>
    <x:row r="174" ht="72" customHeight="1">
      <x:c r="A174" s="13" t="str">
        <x:v>第 3 期</x:v>
      </x:c>
      <x:c r="B174" s="13" t="str">
        <x:v>2. 图标设计与生成</x:v>
      </x:c>
      <x:c r="C174" s="13" t="str">
        <x:v>P3-INF-002</x:v>
      </x:c>
      <x:c r="D174" s="13" t="str">
        <x:v>Worker / AWS 部署</x:v>
      </x:c>
      <x:c r="E174" s="13" t="str">
        <x:v>P3-INF-002-01</x:v>
      </x:c>
      <x:c r="F174" s="13" t="str">
        <x:v>后端</x:v>
      </x:c>
      <x:c r="G174" s="13" t="str">
        <x:v>AWS 部署：SQS</x:v>
      </x:c>
      <x:c r="H174" s="13" t="str">
        <x:v>AWS 部署：SQS</x:v>
      </x:c>
      <x:c r="I174" s="13" t="str">
        <x:v>测试与生产配置隔离；部署可重复；健康检查、告警和回滚步骤验证通过。</x:v>
      </x:c>
      <x:c r="J174" s="13" t="str">
        <x:v>—</x:v>
      </x:c>
      <x:c r="K174" s="13" t="str">
        <x:v>待完成</x:v>
      </x:c>
      <x:c r="L174" s="13" t="str">
        <x:v>09-22～09-24</x:v>
      </x:c>
      <x:c r="M174" s="13" t="str">
        <x:v>—</x:v>
      </x:c>
      <x:c r="N174" s="13" t="str">
        <x:v>job_id、subject_id、variant_id、asset_id 均为UUID；创建请求另带 idempotency_key；记录 settings/skill/model 版本</x:v>
      </x:c>
      <x:c r="O174" s="13" t="str">
        <x:v>job: queued/processing/completed/partial/failed；variant: queued/processing/completed/failed</x:v>
      </x:c>
      <x:c r="P174" s="13" t="str">
        <x:v>1–20主体、每主体3方案、余额不足、内容拦截、模型超时、部分成功、刷新恢复</x:v>
      </x:c>
      <x:c r="Q174" s="13" t="str">
        <x:v>仅本人查看任务与结果；Worker 使用服务端权限；平台API Key不下发前端</x:v>
      </x:c>
      <x:c r="R174" s="13" t="str">
        <x:v>创建+扣点同事务；每用户1个活动任务；队列重投跳过已完成variant；图片保留30天</x:v>
      </x:c>
    </x:row>
    <x:row r="175" ht="72" customHeight="1">
      <x:c r="A175" s="13" t="str">
        <x:v>第 3 期</x:v>
      </x:c>
      <x:c r="B175" s="13" t="str">
        <x:v>2. 图标设计与生成</x:v>
      </x:c>
      <x:c r="C175" s="13" t="str">
        <x:v>P3-INF-002</x:v>
      </x:c>
      <x:c r="D175" s="13" t="str">
        <x:v>Worker / AWS 部署</x:v>
      </x:c>
      <x:c r="E175" s="13" t="str">
        <x:v>P3-INF-002-02</x:v>
      </x:c>
      <x:c r="F175" s="13" t="str">
        <x:v>后端</x:v>
      </x:c>
      <x:c r="G175" s="13" t="str">
        <x:v>AWS 部署：DLQ</x:v>
      </x:c>
      <x:c r="H175" s="13" t="str">
        <x:v>AWS 部署：DLQ</x:v>
      </x:c>
      <x:c r="I175" s="13" t="str">
        <x:v>测试与生产配置隔离；部署可重复；健康检查、告警和回滚步骤验证通过。</x:v>
      </x:c>
      <x:c r="J175" s="13" t="str">
        <x:v>P3-INF-002-01</x:v>
      </x:c>
      <x:c r="K175" s="13" t="str">
        <x:v>待完成</x:v>
      </x:c>
      <x:c r="L175" s="13" t="str">
        <x:v>09-22～09-24</x:v>
      </x:c>
      <x:c r="M175" s="13" t="str">
        <x:v>—</x:v>
      </x:c>
      <x:c r="N175" s="13" t="str">
        <x:v>job_id、subject_id、variant_id、asset_id 均为UUID；创建请求另带 idempotency_key；记录 settings/skill/model 版本</x:v>
      </x:c>
      <x:c r="O175" s="13" t="str">
        <x:v>job: queued/processing/completed/partial/failed；variant: queued/processing/completed/failed</x:v>
      </x:c>
      <x:c r="P175" s="13" t="str">
        <x:v>1–20主体、每主体3方案、余额不足、内容拦截、模型超时、部分成功、刷新恢复</x:v>
      </x:c>
      <x:c r="Q175" s="13" t="str">
        <x:v>仅本人查看任务与结果；Worker 使用服务端权限；平台API Key不下发前端</x:v>
      </x:c>
      <x:c r="R175" s="13" t="str">
        <x:v>创建+扣点同事务；每用户1个活动任务；队列重投跳过已完成variant；图片保留30天</x:v>
      </x:c>
    </x:row>
    <x:row r="176" ht="72" customHeight="1">
      <x:c r="A176" s="13" t="str">
        <x:v>第 3 期</x:v>
      </x:c>
      <x:c r="B176" s="13" t="str">
        <x:v>2. 图标设计与生成</x:v>
      </x:c>
      <x:c r="C176" s="13" t="str">
        <x:v>P3-INF-002</x:v>
      </x:c>
      <x:c r="D176" s="13" t="str">
        <x:v>Worker / AWS 部署</x:v>
      </x:c>
      <x:c r="E176" s="13" t="str">
        <x:v>P3-INF-002-03</x:v>
      </x:c>
      <x:c r="F176" s="13" t="str">
        <x:v>后端</x:v>
      </x:c>
      <x:c r="G176" s="13" t="str">
        <x:v>AWS 部署：Lambda</x:v>
      </x:c>
      <x:c r="H176" s="13" t="str">
        <x:v>AWS 部署：Lambda</x:v>
      </x:c>
      <x:c r="I176" s="13" t="str">
        <x:v>测试与生产配置隔离；部署可重复；健康检查、告警和回滚步骤验证通过。</x:v>
      </x:c>
      <x:c r="J176" s="13" t="str">
        <x:v>P3-INF-002-02</x:v>
      </x:c>
      <x:c r="K176" s="13" t="str">
        <x:v>待完成</x:v>
      </x:c>
      <x:c r="L176" s="13" t="str">
        <x:v>09-22～09-24</x:v>
      </x:c>
      <x:c r="M176" s="13" t="str">
        <x:v>—</x:v>
      </x:c>
      <x:c r="N176" s="13" t="str">
        <x:v>job_id、subject_id、variant_id、asset_id 均为UUID；创建请求另带 idempotency_key；记录 settings/skill/model 版本</x:v>
      </x:c>
      <x:c r="O176" s="13" t="str">
        <x:v>job: queued/processing/completed/partial/failed；variant: queued/processing/completed/failed</x:v>
      </x:c>
      <x:c r="P176" s="13" t="str">
        <x:v>1–20主体、每主体3方案、余额不足、内容拦截、模型超时、部分成功、刷新恢复</x:v>
      </x:c>
      <x:c r="Q176" s="13" t="str">
        <x:v>仅本人查看任务与结果；Worker 使用服务端权限；平台API Key不下发前端</x:v>
      </x:c>
      <x:c r="R176" s="13" t="str">
        <x:v>创建+扣点同事务；每用户1个活动任务；队列重投跳过已完成variant；图片保留30天</x:v>
      </x:c>
    </x:row>
    <x:row r="177" ht="72" customHeight="1">
      <x:c r="A177" s="13" t="str">
        <x:v>第 3 期</x:v>
      </x:c>
      <x:c r="B177" s="13" t="str">
        <x:v>2. 图标设计与生成</x:v>
      </x:c>
      <x:c r="C177" s="13" t="str">
        <x:v>P3-INF-002</x:v>
      </x:c>
      <x:c r="D177" s="13" t="str">
        <x:v>Worker / AWS 部署</x:v>
      </x:c>
      <x:c r="E177" s="13" t="str">
        <x:v>P3-INF-002-04</x:v>
      </x:c>
      <x:c r="F177" s="13" t="str">
        <x:v>后端</x:v>
      </x:c>
      <x:c r="G177" s="13" t="str">
        <x:v>AWS 部署：并发限制</x:v>
      </x:c>
      <x:c r="H177" s="13" t="str">
        <x:v>AWS 部署：并发限制</x:v>
      </x:c>
      <x:c r="I177" s="13" t="str">
        <x:v>测试与生产配置隔离；部署可重复；健康检查、告警和回滚步骤验证通过。</x:v>
      </x:c>
      <x:c r="J177" s="13" t="str">
        <x:v>P3-INF-002-03</x:v>
      </x:c>
      <x:c r="K177" s="13" t="str">
        <x:v>待完成</x:v>
      </x:c>
      <x:c r="L177" s="13" t="str">
        <x:v>09-22～09-24</x:v>
      </x:c>
      <x:c r="M177" s="13" t="str">
        <x:v>—</x:v>
      </x:c>
      <x:c r="N177" s="13" t="str">
        <x:v>job_id、subject_id、variant_id、asset_id 均为UUID；创建请求另带 idempotency_key；记录 settings/skill/model 版本</x:v>
      </x:c>
      <x:c r="O177" s="13" t="str">
        <x:v>job: queued/processing/completed/partial/failed；variant: queued/processing/completed/failed</x:v>
      </x:c>
      <x:c r="P177" s="13" t="str">
        <x:v>1–20主体、每主体3方案、余额不足、内容拦截、模型超时、部分成功、刷新恢复</x:v>
      </x:c>
      <x:c r="Q177" s="13" t="str">
        <x:v>仅本人查看任务与结果；Worker 使用服务端权限；平台API Key不下发前端</x:v>
      </x:c>
      <x:c r="R177" s="13" t="str">
        <x:v>创建+扣点同事务；每用户1个活动任务；队列重投跳过已完成variant；图片保留30天</x:v>
      </x:c>
    </x:row>
    <x:row r="178" ht="72" customHeight="1">
      <x:c r="A178" s="13" t="str">
        <x:v>第 3 期</x:v>
      </x:c>
      <x:c r="B178" s="13" t="str">
        <x:v>2. 图标设计与生成</x:v>
      </x:c>
      <x:c r="C178" s="13" t="str">
        <x:v>P3-INF-002</x:v>
      </x:c>
      <x:c r="D178" s="13" t="str">
        <x:v>Worker / AWS 部署</x:v>
      </x:c>
      <x:c r="E178" s="13" t="str">
        <x:v>P3-INF-002-05</x:v>
      </x:c>
      <x:c r="F178" s="13" t="str">
        <x:v>后端</x:v>
      </x:c>
      <x:c r="G178" s="13" t="str">
        <x:v>AWS 部署：CloudWatch 告警与密钥</x:v>
      </x:c>
      <x:c r="H178" s="13" t="str">
        <x:v>AWS 部署：CloudWatch 告警与密钥</x:v>
      </x:c>
      <x:c r="I178" s="13" t="str">
        <x:v>允许与拒绝场景均有自动化测试；敏感信息不进入浏览器、日志或导出文件。</x:v>
      </x:c>
      <x:c r="J178" s="13" t="str">
        <x:v>P3-INF-002-04</x:v>
      </x:c>
      <x:c r="K178" s="13" t="str">
        <x:v>待完成</x:v>
      </x:c>
      <x:c r="L178" s="13" t="str">
        <x:v>09-22～09-24</x:v>
      </x:c>
      <x:c r="M178" s="13" t="str">
        <x:v>—</x:v>
      </x:c>
      <x:c r="N178" s="13" t="str">
        <x:v>job_id、subject_id、variant_id、asset_id 均为UUID；创建请求另带 idempotency_key；记录 settings/skill/model 版本</x:v>
      </x:c>
      <x:c r="O178" s="13" t="str">
        <x:v>job: queued/processing/completed/partial/failed；variant: queued/processing/completed/failed</x:v>
      </x:c>
      <x:c r="P178" s="13" t="str">
        <x:v>1–20主体、每主体3方案、余额不足、内容拦截、模型超时、部分成功、刷新恢复</x:v>
      </x:c>
      <x:c r="Q178" s="13" t="str">
        <x:v>仅本人查看任务与结果；Worker 使用服务端权限；平台API Key不下发前端</x:v>
      </x:c>
      <x:c r="R178" s="13" t="str">
        <x:v>创建+扣点同事务；每用户1个活动任务；队列重投跳过已完成variant；图片保留30天</x:v>
      </x:c>
    </x:row>
    <x:row r="179" ht="72" customHeight="1">
      <x:c r="A179" s="13" t="str">
        <x:v>第 3 期</x:v>
      </x:c>
      <x:c r="B179" s="13" t="str">
        <x:v>4. 点数与商业化</x:v>
      </x:c>
      <x:c r="C179" s="13" t="str">
        <x:v>P3-INF-003</x:v>
      </x:c>
      <x:c r="D179" s="13" t="str">
        <x:v>安全 / 生产安全检查</x:v>
      </x:c>
      <x:c r="E179" s="13" t="str">
        <x:v>P3-INF-003-01</x:v>
      </x:c>
      <x:c r="F179" s="13" t="str">
        <x:v>后端（共享任务）</x:v>
      </x:c>
      <x:c r="G179" s="13" t="str">
        <x:v>生产安全检查：RLS 越权</x:v>
      </x:c>
      <x:c r="H179" s="13" t="str">
        <x:v>生产安全检查：RLS 越权</x:v>
      </x:c>
      <x:c r="I179" s="13" t="str">
        <x:v>允许与拒绝场景均有自动化测试；敏感信息不进入浏览器、日志或导出文件。</x:v>
      </x:c>
      <x:c r="J179" s="13" t="str">
        <x:v>—</x:v>
      </x:c>
      <x:c r="K179" s="13" t="str">
        <x:v>待完成</x:v>
      </x:c>
      <x:c r="L179" s="13" t="str">
        <x:v>09-24～09-25</x:v>
      </x:c>
      <x:c r="M179" s="13" t="str">
        <x:v>—</x:v>
      </x:c>
      <x:c r="N179" s="13" t="str">
        <x:v>order id(UUID)+order_number(后端生成)；ledger_id(UUID)；Stripe session/payment/event ID；package/pricing version</x:v>
      </x:c>
      <x:c r="O179" s="13" t="str">
        <x:v>order: pending/paid/canceled/expired/failed/refunded；账本记录不可变，余额为快照</x:v>
      </x:c>
      <x:c r="P179" s="13" t="str">
        <x:v>套餐停用/改价、重复点击、Checkout失败、Webhook重复/乱序/伪造、金额币种不一致、退款争议</x:v>
      </x:c>
      <x:c r="Q179" s="13" t="str">
        <x:v>用户只读本人订单/账本；只有验签Webhook可入账；管理员调点需授权和审计</x:v>
      </x:c>
      <x:c r="R179" s="13" t="str">
        <x:v>(user_id,idempotency_key)防重复下单；Event ID去重；订单行锁原子入账；订单/账本进入个人数据导出</x:v>
      </x:c>
    </x:row>
    <x:row r="180" ht="72" customHeight="1">
      <x:c r="A180" s="13" t="str">
        <x:v>第 3 期</x:v>
      </x:c>
      <x:c r="B180" s="13" t="str">
        <x:v>4. 点数与商业化</x:v>
      </x:c>
      <x:c r="C180" s="13" t="str">
        <x:v>P3-INF-003</x:v>
      </x:c>
      <x:c r="D180" s="13" t="str">
        <x:v>安全 / 生产安全检查</x:v>
      </x:c>
      <x:c r="E180" s="13" t="str">
        <x:v>P3-INF-003-02</x:v>
      </x:c>
      <x:c r="F180" s="13" t="str">
        <x:v>后端（共享任务）</x:v>
      </x:c>
      <x:c r="G180" s="13" t="str">
        <x:v>生产安全检查：Webhook 伪造</x:v>
      </x:c>
      <x:c r="H180" s="13" t="str">
        <x:v>生产安全检查：Webhook 伪造</x:v>
      </x:c>
      <x:c r="I180" s="13" t="str">
        <x:v>允许与拒绝场景均有自动化测试；敏感信息不进入浏览器、日志或导出文件。</x:v>
      </x:c>
      <x:c r="J180" s="13" t="str">
        <x:v>P3-INF-003-01</x:v>
      </x:c>
      <x:c r="K180" s="13" t="str">
        <x:v>待完成</x:v>
      </x:c>
      <x:c r="L180" s="13" t="str">
        <x:v>09-24～09-25</x:v>
      </x:c>
      <x:c r="M180" s="13" t="str">
        <x:v>—</x:v>
      </x:c>
      <x:c r="N180" s="13" t="str">
        <x:v>order id(UUID)+order_number(后端生成)；ledger_id(UUID)；Stripe session/payment/event ID；package/pricing version</x:v>
      </x:c>
      <x:c r="O180" s="13" t="str">
        <x:v>order: pending/paid/canceled/expired/failed/refunded；账本记录不可变，余额为快照</x:v>
      </x:c>
      <x:c r="P180" s="13" t="str">
        <x:v>套餐停用/改价、重复点击、Checkout失败、Webhook重复/乱序/伪造、金额币种不一致、退款争议</x:v>
      </x:c>
      <x:c r="Q180" s="13" t="str">
        <x:v>用户只读本人订单/账本；只有验签Webhook可入账；管理员调点需授权和审计</x:v>
      </x:c>
      <x:c r="R180" s="13" t="str">
        <x:v>(user_id,idempotency_key)防重复下单；Event ID去重；订单行锁原子入账；订单/账本进入个人数据导出</x:v>
      </x:c>
    </x:row>
    <x:row r="181" ht="72" customHeight="1">
      <x:c r="A181" s="13" t="str">
        <x:v>第 3 期</x:v>
      </x:c>
      <x:c r="B181" s="13" t="str">
        <x:v>4. 点数与商业化</x:v>
      </x:c>
      <x:c r="C181" s="13" t="str">
        <x:v>P3-INF-003</x:v>
      </x:c>
      <x:c r="D181" s="13" t="str">
        <x:v>安全 / 生产安全检查</x:v>
      </x:c>
      <x:c r="E181" s="13" t="str">
        <x:v>P3-INF-003-03</x:v>
      </x:c>
      <x:c r="F181" s="13" t="str">
        <x:v>后端（共享任务）</x:v>
      </x:c>
      <x:c r="G181" s="13" t="str">
        <x:v>生产安全检查：幂等</x:v>
      </x:c>
      <x:c r="H181" s="13" t="str">
        <x:v>生产安全检查：幂等</x:v>
      </x:c>
      <x:c r="I181" s="13" t="str">
        <x:v>允许与拒绝场景均有自动化测试；敏感信息不进入浏览器、日志或导出文件。</x:v>
      </x:c>
      <x:c r="J181" s="13" t="str">
        <x:v>P3-INF-003-02</x:v>
      </x:c>
      <x:c r="K181" s="13" t="str">
        <x:v>待完成</x:v>
      </x:c>
      <x:c r="L181" s="13" t="str">
        <x:v>09-24～09-25</x:v>
      </x:c>
      <x:c r="M181" s="13" t="str">
        <x:v>—</x:v>
      </x:c>
      <x:c r="N181" s="13" t="str">
        <x:v>order id(UUID)+order_number(后端生成)；ledger_id(UUID)；Stripe session/payment/event ID；package/pricing version</x:v>
      </x:c>
      <x:c r="O181" s="13" t="str">
        <x:v>order: pending/paid/canceled/expired/failed/refunded；账本记录不可变，余额为快照</x:v>
      </x:c>
      <x:c r="P181" s="13" t="str">
        <x:v>套餐停用/改价、重复点击、Checkout失败、Webhook重复/乱序/伪造、金额币种不一致、退款争议</x:v>
      </x:c>
      <x:c r="Q181" s="13" t="str">
        <x:v>用户只读本人订单/账本；只有验签Webhook可入账；管理员调点需授权和审计</x:v>
      </x:c>
      <x:c r="R181" s="13" t="str">
        <x:v>(user_id,idempotency_key)防重复下单；Event ID去重；订单行锁原子入账；订单/账本进入个人数据导出</x:v>
      </x:c>
    </x:row>
    <x:row r="182" ht="72" customHeight="1">
      <x:c r="A182" s="13" t="str">
        <x:v>第 3 期</x:v>
      </x:c>
      <x:c r="B182" s="13" t="str">
        <x:v>4. 点数与商业化</x:v>
      </x:c>
      <x:c r="C182" s="13" t="str">
        <x:v>P3-INF-003</x:v>
      </x:c>
      <x:c r="D182" s="13" t="str">
        <x:v>安全 / 生产安全检查</x:v>
      </x:c>
      <x:c r="E182" s="13" t="str">
        <x:v>P3-INF-003-04</x:v>
      </x:c>
      <x:c r="F182" s="13" t="str">
        <x:v>后端（共享任务）</x:v>
      </x:c>
      <x:c r="G182" s="13" t="str">
        <x:v>生产安全检查：密钥泄漏</x:v>
      </x:c>
      <x:c r="H182" s="13" t="str">
        <x:v>生产安全检查：密钥泄漏</x:v>
      </x:c>
      <x:c r="I182" s="13" t="str">
        <x:v>允许与拒绝场景均有自动化测试；敏感信息不进入浏览器、日志或导出文件。</x:v>
      </x:c>
      <x:c r="J182" s="13" t="str">
        <x:v>P3-INF-003-03</x:v>
      </x:c>
      <x:c r="K182" s="13" t="str">
        <x:v>待完成</x:v>
      </x:c>
      <x:c r="L182" s="13" t="str">
        <x:v>09-24～09-25</x:v>
      </x:c>
      <x:c r="M182" s="13" t="str">
        <x:v>—</x:v>
      </x:c>
      <x:c r="N182" s="13" t="str">
        <x:v>order id(UUID)+order_number(后端生成)；ledger_id(UUID)；Stripe session/payment/event ID；package/pricing version</x:v>
      </x:c>
      <x:c r="O182" s="13" t="str">
        <x:v>order: pending/paid/canceled/expired/failed/refunded；账本记录不可变，余额为快照</x:v>
      </x:c>
      <x:c r="P182" s="13" t="str">
        <x:v>套餐停用/改价、重复点击、Checkout失败、Webhook重复/乱序/伪造、金额币种不一致、退款争议</x:v>
      </x:c>
      <x:c r="Q182" s="13" t="str">
        <x:v>用户只读本人订单/账本；只有验签Webhook可入账；管理员调点需授权和审计</x:v>
      </x:c>
      <x:c r="R182" s="13" t="str">
        <x:v>(user_id,idempotency_key)防重复下单；Event ID去重；订单行锁原子入账；订单/账本进入个人数据导出</x:v>
      </x:c>
    </x:row>
    <x:row r="183" ht="72" customHeight="1">
      <x:c r="A183" s="13" t="str">
        <x:v>第 3 期</x:v>
      </x:c>
      <x:c r="B183" s="13" t="str">
        <x:v>4. 点数与商业化</x:v>
      </x:c>
      <x:c r="C183" s="13" t="str">
        <x:v>P3-INF-003</x:v>
      </x:c>
      <x:c r="D183" s="13" t="str">
        <x:v>安全 / 生产安全检查</x:v>
      </x:c>
      <x:c r="E183" s="13" t="str">
        <x:v>P3-INF-003-05</x:v>
      </x:c>
      <x:c r="F183" s="13" t="str">
        <x:v>后端（共享任务）</x:v>
      </x:c>
      <x:c r="G183" s="13" t="str">
        <x:v>生产安全检查：内容政策和速率限制</x:v>
      </x:c>
      <x:c r="H183" s="13" t="str">
        <x:v>生产安全检查：内容政策和速率限制</x:v>
      </x:c>
      <x:c r="I183" s="13" t="str">
        <x:v>允许与拒绝场景均有自动化测试；敏感信息不进入浏览器、日志或导出文件。</x:v>
      </x:c>
      <x:c r="J183" s="13" t="str">
        <x:v>P3-INF-003-04</x:v>
      </x:c>
      <x:c r="K183" s="13" t="str">
        <x:v>待完成</x:v>
      </x:c>
      <x:c r="L183" s="13" t="str">
        <x:v>09-24～09-25</x:v>
      </x:c>
      <x:c r="M183" s="13" t="str">
        <x:v>—</x:v>
      </x:c>
      <x:c r="N183" s="13" t="str">
        <x:v>order id(UUID)+order_number(后端生成)；ledger_id(UUID)；Stripe session/payment/event ID；package/pricing version</x:v>
      </x:c>
      <x:c r="O183" s="13" t="str">
        <x:v>order: pending/paid/canceled/expired/failed/refunded；账本记录不可变，余额为快照</x:v>
      </x:c>
      <x:c r="P183" s="13" t="str">
        <x:v>套餐停用/改价、重复点击、Checkout失败、Webhook重复/乱序/伪造、金额币种不一致、退款争议</x:v>
      </x:c>
      <x:c r="Q183" s="13" t="str">
        <x:v>用户只读本人订单/账本；只有验签Webhook可入账；管理员调点需授权和审计</x:v>
      </x:c>
      <x:c r="R183" s="13" t="str">
        <x:v>(user_id,idempotency_key)防重复下单；Event ID去重；订单行锁原子入账；订单/账本进入个人数据导出</x:v>
      </x:c>
    </x:row>
    <x:row r="184" ht="72" customHeight="1">
      <x:c r="A184" s="13" t="str">
        <x:v>第 3 期</x:v>
      </x:c>
      <x:c r="B184" s="13" t="str">
        <x:v>6. 平台、工程与上线</x:v>
      </x:c>
      <x:c r="C184" s="13" t="str">
        <x:v>P3-DOC-001</x:v>
      </x:c>
      <x:c r="D184" s="13" t="str">
        <x:v>上线资料 / 法务与支持配置</x:v>
      </x:c>
      <x:c r="E184" s="13" t="str">
        <x:v>P3-DOC-001-01</x:v>
      </x:c>
      <x:c r="F184" s="13" t="str">
        <x:v>后端（共享任务）</x:v>
      </x:c>
      <x:c r="G184" s="13" t="str">
        <x:v>法务与支持配置：Terms</x:v>
      </x:c>
      <x:c r="H184" s="13" t="str">
        <x:v>法务与支持配置：Terms</x:v>
      </x:c>
      <x:c r="I184" s="13" t="str">
        <x:v>该条目可独立实现和验证；类型检查及对应测试通过；结果满足父任务验收标准。</x:v>
      </x:c>
      <x:c r="J184" s="13" t="str">
        <x:v>—</x:v>
      </x:c>
      <x:c r="K184" s="13" t="str">
        <x:v>待完成</x:v>
      </x:c>
      <x:c r="L184" s="13" t="str">
        <x:v>09-24～09-25</x:v>
      </x:c>
      <x:c r="M184" s="13" t="str">
        <x:v>—</x:v>
      </x:c>
      <x:c r="N184" s="13" t="str">
        <x:v>配置版本、Skill版本、模型名、部署版本、provider request ID和环境标识</x:v>
      </x:c>
      <x:c r="O184" s="13" t="str">
        <x:v>部署/服务 health状态；配置启用/停用；队列消息 queued/processing/DLQ</x:v>
      </x:c>
      <x:c r="P184" s="13" t="str">
        <x:v>配置缺失、密钥无效、限流、部署失败、队列积压、定时任务重复执行</x:v>
      </x:c>
      <x:c r="Q184" s="13" t="str">
        <x:v>环境与密钥隔离；最小权限；生产操作留审计；日志脱敏</x:v>
      </x:c>
      <x:c r="R184" s="13" t="str">
        <x:v>部署可回滚；Worker/清理任务可重入；密钥不入库不导出；日志按合规期限保留</x:v>
      </x:c>
    </x:row>
    <x:row r="185" ht="72" customHeight="1">
      <x:c r="A185" s="13" t="str">
        <x:v>第 3 期</x:v>
      </x:c>
      <x:c r="B185" s="13" t="str">
        <x:v>6. 平台、工程与上线</x:v>
      </x:c>
      <x:c r="C185" s="13" t="str">
        <x:v>P3-DOC-001</x:v>
      </x:c>
      <x:c r="D185" s="13" t="str">
        <x:v>上线资料 / 法务与支持配置</x:v>
      </x:c>
      <x:c r="E185" s="13" t="str">
        <x:v>P3-DOC-001-02</x:v>
      </x:c>
      <x:c r="F185" s="13" t="str">
        <x:v>后端（共享任务）</x:v>
      </x:c>
      <x:c r="G185" s="13" t="str">
        <x:v>法务与支持配置：Privacy</x:v>
      </x:c>
      <x:c r="H185" s="13" t="str">
        <x:v>法务与支持配置：Privacy</x:v>
      </x:c>
      <x:c r="I185" s="13" t="str">
        <x:v>该条目可独立实现和验证；类型检查及对应测试通过；结果满足父任务验收标准。</x:v>
      </x:c>
      <x:c r="J185" s="13" t="str">
        <x:v>P3-DOC-001-01</x:v>
      </x:c>
      <x:c r="K185" s="13" t="str">
        <x:v>待完成</x:v>
      </x:c>
      <x:c r="L185" s="13" t="str">
        <x:v>09-24～09-25</x:v>
      </x:c>
      <x:c r="M185" s="13" t="str">
        <x:v>—</x:v>
      </x:c>
      <x:c r="N185" s="13" t="str">
        <x:v>配置版本、Skill版本、模型名、部署版本、provider request ID和环境标识</x:v>
      </x:c>
      <x:c r="O185" s="13" t="str">
        <x:v>部署/服务 health状态；配置启用/停用；队列消息 queued/processing/DLQ</x:v>
      </x:c>
      <x:c r="P185" s="13" t="str">
        <x:v>配置缺失、密钥无效、限流、部署失败、队列积压、定时任务重复执行</x:v>
      </x:c>
      <x:c r="Q185" s="13" t="str">
        <x:v>环境与密钥隔离；最小权限；生产操作留审计；日志脱敏</x:v>
      </x:c>
      <x:c r="R185" s="13" t="str">
        <x:v>部署可回滚；Worker/清理任务可重入；密钥不入库不导出；日志按合规期限保留</x:v>
      </x:c>
    </x:row>
    <x:row r="186" ht="72" customHeight="1">
      <x:c r="A186" s="13" t="str">
        <x:v>第 3 期</x:v>
      </x:c>
      <x:c r="B186" s="13" t="str">
        <x:v>6. 平台、工程与上线</x:v>
      </x:c>
      <x:c r="C186" s="13" t="str">
        <x:v>P3-DOC-001</x:v>
      </x:c>
      <x:c r="D186" s="13" t="str">
        <x:v>上线资料 / 法务与支持配置</x:v>
      </x:c>
      <x:c r="E186" s="13" t="str">
        <x:v>P3-DOC-001-03</x:v>
      </x:c>
      <x:c r="F186" s="13" t="str">
        <x:v>后端（共享任务）</x:v>
      </x:c>
      <x:c r="G186" s="13" t="str">
        <x:v>法务与支持配置：Refund</x:v>
      </x:c>
      <x:c r="H186" s="13" t="str">
        <x:v>法务与支持配置：Refund</x:v>
      </x:c>
      <x:c r="I186" s="13" t="str">
        <x:v>该条目可独立实现和验证；类型检查及对应测试通过；结果满足父任务验收标准。</x:v>
      </x:c>
      <x:c r="J186" s="13" t="str">
        <x:v>P3-DOC-001-02</x:v>
      </x:c>
      <x:c r="K186" s="13" t="str">
        <x:v>待完成</x:v>
      </x:c>
      <x:c r="L186" s="13" t="str">
        <x:v>09-24～09-25</x:v>
      </x:c>
      <x:c r="M186" s="13" t="str">
        <x:v>—</x:v>
      </x:c>
      <x:c r="N186" s="13" t="str">
        <x:v>配置版本、Skill版本、模型名、部署版本、provider request ID和环境标识</x:v>
      </x:c>
      <x:c r="O186" s="13" t="str">
        <x:v>部署/服务 health状态；配置启用/停用；队列消息 queued/processing/DLQ</x:v>
      </x:c>
      <x:c r="P186" s="13" t="str">
        <x:v>配置缺失、密钥无效、限流、部署失败、队列积压、定时任务重复执行</x:v>
      </x:c>
      <x:c r="Q186" s="13" t="str">
        <x:v>环境与密钥隔离；最小权限；生产操作留审计；日志脱敏</x:v>
      </x:c>
      <x:c r="R186" s="13" t="str">
        <x:v>部署可回滚；Worker/清理任务可重入；密钥不入库不导出；日志按合规期限保留</x:v>
      </x:c>
    </x:row>
    <x:row r="187" ht="72" customHeight="1">
      <x:c r="A187" s="13" t="str">
        <x:v>第 3 期</x:v>
      </x:c>
      <x:c r="B187" s="13" t="str">
        <x:v>6. 平台、工程与上线</x:v>
      </x:c>
      <x:c r="C187" s="13" t="str">
        <x:v>P3-DOC-001</x:v>
      </x:c>
      <x:c r="D187" s="13" t="str">
        <x:v>上线资料 / 法务与支持配置</x:v>
      </x:c>
      <x:c r="E187" s="13" t="str">
        <x:v>P3-DOC-001-04</x:v>
      </x:c>
      <x:c r="F187" s="13" t="str">
        <x:v>后端（共享任务）</x:v>
      </x:c>
      <x:c r="G187" s="13" t="str">
        <x:v>法务与支持配置：支持邮箱</x:v>
      </x:c>
      <x:c r="H187" s="13" t="str">
        <x:v>法务与支持配置：支持邮箱</x:v>
      </x:c>
      <x:c r="I187" s="13" t="str">
        <x:v>该条目可独立实现和验证；类型检查及对应测试通过；结果满足父任务验收标准。</x:v>
      </x:c>
      <x:c r="J187" s="13" t="str">
        <x:v>P3-DOC-001-03</x:v>
      </x:c>
      <x:c r="K187" s="13" t="str">
        <x:v>待完成</x:v>
      </x:c>
      <x:c r="L187" s="13" t="str">
        <x:v>09-24～09-25</x:v>
      </x:c>
      <x:c r="M187" s="13" t="str">
        <x:v>—</x:v>
      </x:c>
      <x:c r="N187" s="13" t="str">
        <x:v>配置版本、Skill版本、模型名、部署版本、provider request ID和环境标识</x:v>
      </x:c>
      <x:c r="O187" s="13" t="str">
        <x:v>部署/服务 health状态；配置启用/停用；队列消息 queued/processing/DLQ</x:v>
      </x:c>
      <x:c r="P187" s="13" t="str">
        <x:v>配置缺失、密钥无效、限流、部署失败、队列积压、定时任务重复执行</x:v>
      </x:c>
      <x:c r="Q187" s="13" t="str">
        <x:v>环境与密钥隔离；最小权限；生产操作留审计；日志脱敏</x:v>
      </x:c>
      <x:c r="R187" s="13" t="str">
        <x:v>部署可回滚；Worker/清理任务可重入；密钥不入库不导出；日志按合规期限保留</x:v>
      </x:c>
    </x:row>
    <x:row r="188" ht="72" customHeight="1">
      <x:c r="A188" s="13" t="str">
        <x:v>第 3 期</x:v>
      </x:c>
      <x:c r="B188" s="13" t="str">
        <x:v>6. 平台、工程与上线</x:v>
      </x:c>
      <x:c r="C188" s="13" t="str">
        <x:v>P3-DOC-001</x:v>
      </x:c>
      <x:c r="D188" s="13" t="str">
        <x:v>上线资料 / 法务与支持配置</x:v>
      </x:c>
      <x:c r="E188" s="13" t="str">
        <x:v>P3-DOC-001-05</x:v>
      </x:c>
      <x:c r="F188" s="13" t="str">
        <x:v>后端（共享任务）</x:v>
      </x:c>
      <x:c r="G188" s="13" t="str">
        <x:v>法务与支持配置：经营主体和 Cookie 决策</x:v>
      </x:c>
      <x:c r="H188" s="13" t="str">
        <x:v>法务与支持配置：经营主体和 Cookie 决策</x:v>
      </x:c>
      <x:c r="I188" s="13" t="str">
        <x:v>该条目可独立实现和验证；类型检查及对应测试通过；结果满足父任务验收标准。</x:v>
      </x:c>
      <x:c r="J188" s="13" t="str">
        <x:v>P3-DOC-001-04</x:v>
      </x:c>
      <x:c r="K188" s="13" t="str">
        <x:v>待完成</x:v>
      </x:c>
      <x:c r="L188" s="13" t="str">
        <x:v>09-24～09-25</x:v>
      </x:c>
      <x:c r="M188" s="13" t="str">
        <x:v>—</x:v>
      </x:c>
      <x:c r="N188" s="13" t="str">
        <x:v>配置版本、Skill版本、模型名、部署版本、provider request ID和环境标识</x:v>
      </x:c>
      <x:c r="O188" s="13" t="str">
        <x:v>部署/服务 health状态；配置启用/停用；队列消息 queued/processing/DLQ</x:v>
      </x:c>
      <x:c r="P188" s="13" t="str">
        <x:v>配置缺失、密钥无效、限流、部署失败、队列积压、定时任务重复执行</x:v>
      </x:c>
      <x:c r="Q188" s="13" t="str">
        <x:v>环境与密钥隔离；最小权限；生产操作留审计；日志脱敏</x:v>
      </x:c>
      <x:c r="R188" s="13" t="str">
        <x:v>部署可回滚；Worker/清理任务可重入；密钥不入库不导出；日志按合规期限保留</x:v>
      </x:c>
    </x:row>
    <x:row r="189" ht="72" customHeight="1">
      <x:c r="A189" s="13" t="str">
        <x:v>第 3 期</x:v>
      </x:c>
      <x:c r="B189" s="13" t="str">
        <x:v>2. 图标设计与生成</x:v>
      </x:c>
      <x:c r="C189" s="13" t="str">
        <x:v>P3-QA-001</x:v>
      </x:c>
      <x:c r="D189" s="13" t="str">
        <x:v>E2E / 完整商业闭环</x:v>
      </x:c>
      <x:c r="E189" s="13" t="str">
        <x:v>P3-QA-001-01</x:v>
      </x:c>
      <x:c r="F189" s="13" t="str">
        <x:v>后端（共享任务）</x:v>
      </x:c>
      <x:c r="G189" s="13" t="str">
        <x:v>注册送 6 点→生成→单图/ZIP→购买→再次生成→删除账户导出并核对资料/订单/账本/摘要/PNG</x:v>
      </x:c>
      <x:c r="H189" s="13" t="str">
        <x:v>注册送 6 点→生成→单图/ZIP→购买→再次生成→删除账户导出并核对资料/订单/账本/摘要/PNG</x:v>
      </x:c>
      <x:c r="I189" s="13" t="str">
        <x:v>输出文件格式、数量、尺寸、透明/背景规则和所有权校验符合 PRD；失败可追踪。</x:v>
      </x:c>
      <x:c r="J189" s="13" t="str">
        <x:v>—</x:v>
      </x:c>
      <x:c r="K189" s="13" t="str">
        <x:v>待完成</x:v>
      </x:c>
      <x:c r="L189" s="13" t="str">
        <x:v>09-25～09-26</x:v>
      </x:c>
      <x:c r="M189" s="13" t="str">
        <x:v>—</x:v>
      </x:c>
      <x:c r="N189" s="13" t="str">
        <x:v>job_id、subject_id、variant_id、asset_id 均为UUID；创建请求另带 idempotency_key；记录 settings/skill/model 版本</x:v>
      </x:c>
      <x:c r="O189" s="13" t="str">
        <x:v>job: queued/processing/completed/partial/failed；variant: queued/processing/completed/failed</x:v>
      </x:c>
      <x:c r="P189" s="13" t="str">
        <x:v>1–20主体、每主体3方案、余额不足、内容拦截、模型超时、部分成功、刷新恢复</x:v>
      </x:c>
      <x:c r="Q189" s="13" t="str">
        <x:v>仅本人查看任务与结果；Worker 使用服务端权限；平台API Key不下发前端</x:v>
      </x:c>
      <x:c r="R189" s="13" t="str">
        <x:v>创建+扣点同事务；每用户1个活动任务；队列重投跳过已完成variant；图片保留30天</x:v>
      </x:c>
    </x:row>
    <x:row r="190" ht="72" customHeight="1">
      <x:c r="A190" s="13" t="str">
        <x:v>第 3 期</x:v>
      </x:c>
      <x:c r="B190" s="13" t="str">
        <x:v>6. 平台、工程与上线</x:v>
      </x:c>
      <x:c r="C190" s="13" t="str">
        <x:v>P3-QA-002</x:v>
      </x:c>
      <x:c r="D190" s="13" t="str">
        <x:v>发布 / 上线验收</x:v>
      </x:c>
      <x:c r="E190" s="13" t="str">
        <x:v>P3-QA-002-01</x:v>
      </x:c>
      <x:c r="F190" s="13" t="str">
        <x:v>后端（共享任务）</x:v>
      </x:c>
      <x:c r="G190" s="13" t="str">
        <x:v>上线验收：桌面/移动端</x:v>
      </x:c>
      <x:c r="H190" s="13" t="str">
        <x:v>上线验收：桌面/移动端</x:v>
      </x:c>
      <x:c r="I190" s="13" t="str">
        <x:v>自动化用例通过并保存验收结果；覆盖主流程、异常、刷新恢复和重复操作。</x:v>
      </x:c>
      <x:c r="J190" s="13" t="str">
        <x:v>—</x:v>
      </x:c>
      <x:c r="K190" s="13" t="str">
        <x:v>待完成</x:v>
      </x:c>
      <x:c r="L190" s="13" t="str">
        <x:v>09-26～09-27</x:v>
      </x:c>
      <x:c r="M190" s="13" t="str">
        <x:v>—</x:v>
      </x:c>
      <x:c r="N190" s="13" t="str">
        <x:v>配置版本、Skill版本、模型名、部署版本、provider request ID和环境标识</x:v>
      </x:c>
      <x:c r="O190" s="13" t="str">
        <x:v>部署/服务 health状态；配置启用/停用；队列消息 queued/processing/DLQ</x:v>
      </x:c>
      <x:c r="P190" s="13" t="str">
        <x:v>配置缺失、密钥无效、限流、部署失败、队列积压、定时任务重复执行</x:v>
      </x:c>
      <x:c r="Q190" s="13" t="str">
        <x:v>环境与密钥隔离；最小权限；生产操作留审计；日志脱敏</x:v>
      </x:c>
      <x:c r="R190" s="13" t="str">
        <x:v>部署可回滚；Worker/清理任务可重入；密钥不入库不导出；日志按合规期限保留</x:v>
      </x:c>
    </x:row>
    <x:row r="191" ht="72" customHeight="1">
      <x:c r="A191" s="13" t="str">
        <x:v>第 3 期</x:v>
      </x:c>
      <x:c r="B191" s="13" t="str">
        <x:v>6. 平台、工程与上线</x:v>
      </x:c>
      <x:c r="C191" s="13" t="str">
        <x:v>P3-QA-002</x:v>
      </x:c>
      <x:c r="D191" s="13" t="str">
        <x:v>发布 / 上线验收</x:v>
      </x:c>
      <x:c r="E191" s="13" t="str">
        <x:v>P3-QA-002-02</x:v>
      </x:c>
      <x:c r="F191" s="13" t="str">
        <x:v>后端（共享任务）</x:v>
      </x:c>
      <x:c r="G191" s="13" t="str">
        <x:v>上线验收：中英文</x:v>
      </x:c>
      <x:c r="H191" s="13" t="str">
        <x:v>上线验收：中英文</x:v>
      </x:c>
      <x:c r="I191" s="13" t="str">
        <x:v>桌面和移动端可操作；正常、空、加载、失败和禁用状态完整；中英文文案可切换。</x:v>
      </x:c>
      <x:c r="J191" s="13" t="str">
        <x:v>P3-QA-002-01</x:v>
      </x:c>
      <x:c r="K191" s="13" t="str">
        <x:v>待完成</x:v>
      </x:c>
      <x:c r="L191" s="13" t="str">
        <x:v>09-26～09-27</x:v>
      </x:c>
      <x:c r="M191" s="13" t="str">
        <x:v>—</x:v>
      </x:c>
      <x:c r="N191" s="13" t="str">
        <x:v>配置版本、Skill版本、模型名、部署版本、provider request ID和环境标识</x:v>
      </x:c>
      <x:c r="O191" s="13" t="str">
        <x:v>部署/服务 health状态；配置启用/停用；队列消息 queued/processing/DLQ</x:v>
      </x:c>
      <x:c r="P191" s="13" t="str">
        <x:v>配置缺失、密钥无效、限流、部署失败、队列积压、定时任务重复执行</x:v>
      </x:c>
      <x:c r="Q191" s="13" t="str">
        <x:v>环境与密钥隔离；最小权限；生产操作留审计；日志脱敏</x:v>
      </x:c>
      <x:c r="R191" s="13" t="str">
        <x:v>部署可回滚；Worker/清理任务可重入；密钥不入库不导出；日志按合规期限保留</x:v>
      </x:c>
    </x:row>
    <x:row r="192" ht="72" customHeight="1">
      <x:c r="A192" s="13" t="str">
        <x:v>第 3 期</x:v>
      </x:c>
      <x:c r="B192" s="13" t="str">
        <x:v>6. 平台、工程与上线</x:v>
      </x:c>
      <x:c r="C192" s="13" t="str">
        <x:v>P3-QA-002</x:v>
      </x:c>
      <x:c r="D192" s="13" t="str">
        <x:v>发布 / 上线验收</x:v>
      </x:c>
      <x:c r="E192" s="13" t="str">
        <x:v>P3-QA-002-03</x:v>
      </x:c>
      <x:c r="F192" s="13" t="str">
        <x:v>后端（共享任务）</x:v>
      </x:c>
      <x:c r="G192" s="13" t="str">
        <x:v>上线验收：可访问性</x:v>
      </x:c>
      <x:c r="H192" s="13" t="str">
        <x:v>上线验收：可访问性</x:v>
      </x:c>
      <x:c r="I192" s="13" t="str">
        <x:v>自动化用例通过并保存验收结果；覆盖主流程、异常、刷新恢复和重复操作。</x:v>
      </x:c>
      <x:c r="J192" s="13" t="str">
        <x:v>P3-QA-002-02</x:v>
      </x:c>
      <x:c r="K192" s="13" t="str">
        <x:v>待完成</x:v>
      </x:c>
      <x:c r="L192" s="13" t="str">
        <x:v>09-26～09-27</x:v>
      </x:c>
      <x:c r="M192" s="13" t="str">
        <x:v>—</x:v>
      </x:c>
      <x:c r="N192" s="13" t="str">
        <x:v>配置版本、Skill版本、模型名、部署版本、provider request ID和环境标识</x:v>
      </x:c>
      <x:c r="O192" s="13" t="str">
        <x:v>部署/服务 health状态；配置启用/停用；队列消息 queued/processing/DLQ</x:v>
      </x:c>
      <x:c r="P192" s="13" t="str">
        <x:v>配置缺失、密钥无效、限流、部署失败、队列积压、定时任务重复执行</x:v>
      </x:c>
      <x:c r="Q192" s="13" t="str">
        <x:v>环境与密钥隔离；最小权限；生产操作留审计；日志脱敏</x:v>
      </x:c>
      <x:c r="R192" s="13" t="str">
        <x:v>部署可回滚；Worker/清理任务可重入；密钥不入库不导出；日志按合规期限保留</x:v>
      </x:c>
    </x:row>
    <x:row r="193" ht="72" customHeight="1">
      <x:c r="A193" s="13" t="str">
        <x:v>第 3 期</x:v>
      </x:c>
      <x:c r="B193" s="13" t="str">
        <x:v>6. 平台、工程与上线</x:v>
      </x:c>
      <x:c r="C193" s="13" t="str">
        <x:v>P3-QA-002</x:v>
      </x:c>
      <x:c r="D193" s="13" t="str">
        <x:v>发布 / 上线验收</x:v>
      </x:c>
      <x:c r="E193" s="13" t="str">
        <x:v>P3-QA-002-04</x:v>
      </x:c>
      <x:c r="F193" s="13" t="str">
        <x:v>后端（共享任务）</x:v>
      </x:c>
      <x:c r="G193" s="13" t="str">
        <x:v>上线验收：性能</x:v>
      </x:c>
      <x:c r="H193" s="13" t="str">
        <x:v>上线验收：性能</x:v>
      </x:c>
      <x:c r="I193" s="13" t="str">
        <x:v>自动化用例通过并保存验收结果；覆盖主流程、异常、刷新恢复和重复操作。</x:v>
      </x:c>
      <x:c r="J193" s="13" t="str">
        <x:v>P3-QA-002-03</x:v>
      </x:c>
      <x:c r="K193" s="13" t="str">
        <x:v>待完成</x:v>
      </x:c>
      <x:c r="L193" s="13" t="str">
        <x:v>09-26～09-27</x:v>
      </x:c>
      <x:c r="M193" s="13" t="str">
        <x:v>—</x:v>
      </x:c>
      <x:c r="N193" s="13" t="str">
        <x:v>配置版本、Skill版本、模型名、部署版本、provider request ID和环境标识</x:v>
      </x:c>
      <x:c r="O193" s="13" t="str">
        <x:v>部署/服务 health状态；配置启用/停用；队列消息 queued/processing/DLQ</x:v>
      </x:c>
      <x:c r="P193" s="13" t="str">
        <x:v>配置缺失、密钥无效、限流、部署失败、队列积压、定时任务重复执行</x:v>
      </x:c>
      <x:c r="Q193" s="13" t="str">
        <x:v>环境与密钥隔离；最小权限；生产操作留审计；日志脱敏</x:v>
      </x:c>
      <x:c r="R193" s="13" t="str">
        <x:v>部署可回滚；Worker/清理任务可重入；密钥不入库不导出；日志按合规期限保留</x:v>
      </x:c>
    </x:row>
    <x:row r="194" ht="72" customHeight="1">
      <x:c r="A194" s="13" t="str">
        <x:v>第 3 期</x:v>
      </x:c>
      <x:c r="B194" s="13" t="str">
        <x:v>6. 平台、工程与上线</x:v>
      </x:c>
      <x:c r="C194" s="13" t="str">
        <x:v>P3-QA-002</x:v>
      </x:c>
      <x:c r="D194" s="13" t="str">
        <x:v>发布 / 上线验收</x:v>
      </x:c>
      <x:c r="E194" s="13" t="str">
        <x:v>P3-QA-002-05</x:v>
      </x:c>
      <x:c r="F194" s="13" t="str">
        <x:v>后端（共享任务）</x:v>
      </x:c>
      <x:c r="G194" s="13" t="str">
        <x:v>上线验收：错误恢复</x:v>
      </x:c>
      <x:c r="H194" s="13" t="str">
        <x:v>上线验收：错误恢复</x:v>
      </x:c>
      <x:c r="I194" s="13" t="str">
        <x:v>自动化用例通过并保存验收结果；覆盖主流程、异常、刷新恢复和重复操作。</x:v>
      </x:c>
      <x:c r="J194" s="13" t="str">
        <x:v>P3-QA-002-04</x:v>
      </x:c>
      <x:c r="K194" s="13" t="str">
        <x:v>待完成</x:v>
      </x:c>
      <x:c r="L194" s="13" t="str">
        <x:v>09-26～09-27</x:v>
      </x:c>
      <x:c r="M194" s="13" t="str">
        <x:v>—</x:v>
      </x:c>
      <x:c r="N194" s="13" t="str">
        <x:v>配置版本、Skill版本、模型名、部署版本、provider request ID和环境标识</x:v>
      </x:c>
      <x:c r="O194" s="13" t="str">
        <x:v>部署/服务 health状态；配置启用/停用；队列消息 queued/processing/DLQ</x:v>
      </x:c>
      <x:c r="P194" s="13" t="str">
        <x:v>配置缺失、密钥无效、限流、部署失败、队列积压、定时任务重复执行</x:v>
      </x:c>
      <x:c r="Q194" s="13" t="str">
        <x:v>环境与密钥隔离；最小权限；生产操作留审计；日志脱敏</x:v>
      </x:c>
      <x:c r="R194" s="13" t="str">
        <x:v>部署可回滚；Worker/清理任务可重入；密钥不入库不导出；日志按合规期限保留</x:v>
      </x:c>
    </x:row>
    <x:row r="195" ht="72" customHeight="1">
      <x:c r="A195" s="13" t="str">
        <x:v>第 3 期</x:v>
      </x:c>
      <x:c r="B195" s="13" t="str">
        <x:v>6. 平台、工程与上线</x:v>
      </x:c>
      <x:c r="C195" s="13" t="str">
        <x:v>P3-QA-002</x:v>
      </x:c>
      <x:c r="D195" s="13" t="str">
        <x:v>发布 / 上线验收</x:v>
      </x:c>
      <x:c r="E195" s="13" t="str">
        <x:v>P3-QA-002-06</x:v>
      </x:c>
      <x:c r="F195" s="13" t="str">
        <x:v>后端（共享任务）</x:v>
      </x:c>
      <x:c r="G195" s="13" t="str">
        <x:v>上线验收：监控和回滚</x:v>
      </x:c>
      <x:c r="H195" s="13" t="str">
        <x:v>上线验收：监控和回滚</x:v>
      </x:c>
      <x:c r="I195" s="13" t="str">
        <x:v>重复与并发请求不重复创建、扣点或入账；任一步失败可回滚并可安全重试。</x:v>
      </x:c>
      <x:c r="J195" s="13" t="str">
        <x:v>P3-QA-002-05</x:v>
      </x:c>
      <x:c r="K195" s="13" t="str">
        <x:v>待完成</x:v>
      </x:c>
      <x:c r="L195" s="13" t="str">
        <x:v>09-26～09-27</x:v>
      </x:c>
      <x:c r="M195" s="13" t="str">
        <x:v>—</x:v>
      </x:c>
      <x:c r="N195" s="13" t="str">
        <x:v>配置版本、Skill版本、模型名、部署版本、provider request ID和环境标识</x:v>
      </x:c>
      <x:c r="O195" s="13" t="str">
        <x:v>部署/服务 health状态；配置启用/停用；队列消息 queued/processing/DLQ</x:v>
      </x:c>
      <x:c r="P195" s="13" t="str">
        <x:v>配置缺失、密钥无效、限流、部署失败、队列积压、定时任务重复执行</x:v>
      </x:c>
      <x:c r="Q195" s="13" t="str">
        <x:v>环境与密钥隔离；最小权限；生产操作留审计；日志脱敏</x:v>
      </x:c>
      <x:c r="R195" s="13" t="str">
        <x:v>部署可回滚；Worker/清理任务可重入；密钥不入库不导出；日志按合规期限保留</x:v>
      </x:c>
    </x:row>
  </x:sheetData>
  <x:mergeCells>
    <x:mergeCell ref="A1:R1"/>
    <x:mergeCell ref="A2:R2"/>
  </x:mergeCells>
  <x:conditionalFormatting sqref="K4:K195">
    <x:cfRule type="containsText" dxfId="2" priority="1" operator="containsText" text="已完成"/>
    <x:cfRule type="containsText" dxfId="3" priority="2" operator="containsText" text="待完成"/>
  </x:conditionalFormatting>
  <x:dataValidations count="1">
    <x:dataValidation type="list" sqref="K4:K195">
      <x:formula1>"待完成,已完成"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ea623ab2b84c0c"/>
  </x:tableParts>
</x:worksheet>
</file>