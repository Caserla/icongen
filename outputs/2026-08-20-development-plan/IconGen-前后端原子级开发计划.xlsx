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8491091c0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概览" sheetId="1" r:id="Rec500e56b742436e"/>
    <x:sheet xmlns:r="http://schemas.openxmlformats.org/officeDocument/2006/relationships" name="前端开发计划" sheetId="2" r:id="R2426ffeae60048d7"/>
    <x:sheet xmlns:r="http://schemas.openxmlformats.org/officeDocument/2006/relationships" name="后端开发计划" sheetId="3" r:id="R9dabeabeaad3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6750E8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59f306ec347bf" /><Relationship Type="http://schemas.openxmlformats.org/officeDocument/2006/relationships/theme" Target="/xl/theme/theme1.xml" Id="R8b903fd800984d3f" /><Relationship Type="http://schemas.openxmlformats.org/officeDocument/2006/relationships/sharedStrings" Target="/xl/sharedStrings.xml" Id="R28f302dc72a04bd9" /><Relationship Type="http://schemas.openxmlformats.org/officeDocument/2006/relationships/worksheet" Target="/xl/worksheets/sheet1.xml" Id="Rec500e56b742436e" /><Relationship Type="http://schemas.openxmlformats.org/officeDocument/2006/relationships/worksheet" Target="/xl/worksheets/sheet2.xml" Id="R2426ffeae60048d7" /><Relationship Type="http://schemas.openxmlformats.org/officeDocument/2006/relationships/worksheet" Target="/xl/worksheets/sheet3.xml" Id="R9dabeabeaad344da" /></Relationships>
</file>

<file path=xl/tables/table1.xml><?xml version="1.0" encoding="utf-8"?>
<x:table xmlns:x="http://schemas.openxmlformats.org/spreadsheetml/2006/main" id="1" name="FrontendAtomicPlan" displayName="FrontendAtomicPlan" ref="A3:R260" headerRowCount="1" totalsRowCount="0" totalsRowShown="0">
  <x:tableColumns count="18">
    <x:tableColumn id="1" name="阶段"/>
    <x:tableColumn id="2" name="大需求/业务模块"/>
    <x:tableColumn id="3" name="PRD需求ID"/>
    <x:tableColumn id="4" name="功能点"/>
    <x:tableColumn id="5" name="原子任务ID"/>
    <x:tableColumn id="6" name="责任端"/>
    <x:tableColumn id="7" name="原子开发任务"/>
    <x:tableColumn id="8" name="唯一交付物"/>
    <x:tableColumn id="9" name="独立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endAtomicPlan" displayName="BackendAtomicPlan" ref="A3:R274" headerRowCount="1" totalsRowCount="0" totalsRowShown="0">
  <x:tableColumns count="18">
    <x:tableColumn id="1" name="阶段"/>
    <x:tableColumn id="2" name="大需求/业务模块"/>
    <x:tableColumn id="3" name="PRD需求ID"/>
    <x:tableColumn id="4" name="功能点"/>
    <x:tableColumn id="5" name="原子任务ID"/>
    <x:tableColumn id="6" name="责任端"/>
    <x:tableColumn id="7" name="原子开发任务"/>
    <x:tableColumn id="8" name="唯一交付物"/>
    <x:tableColumn id="9" name="独立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168eb1542b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6c508ae8c45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</x:cols>
  <x:sheetData>
    <x:row r="1" ht="36" customHeight="1">
      <x:c r="A1" s="2" t="str">
        <x:v>Bamboo IconGen 原子级前后端开发计划</x:v>
      </x:c>
      <x:c r="B1" s="2"/>
      <x:c r="C1" s="2"/>
      <x:c r="D1" s="2"/>
      <x:c r="E1" s="2"/>
      <x:c r="F1" s="2"/>
      <x:c r="G1" s="2"/>
      <x:c r="H1" s="2"/>
    </x:row>
    <x:row r="2">
      <x:c r="A2" t="str">
        <x:v>更新时间：2026-08-21；状态以代码、PRD 与本工作簿一致性验收为准</x:v>
      </x:c>
    </x:row>
    <x:row r="3" ht="34" customHeight="1">
      <x:c r="A3" s="18" t="str">
        <x:v>计划</x:v>
      </x:c>
      <x:c r="B3" s="18" t="str">
        <x:v>业务模块数</x:v>
      </x:c>
      <x:c r="C3" s="18" t="str">
        <x:v>功能点数</x:v>
      </x:c>
      <x:c r="D3" s="18" t="str">
        <x:v>原子任务数</x:v>
      </x:c>
      <x:c r="E3" s="18" t="str">
        <x:v>已完成</x:v>
      </x:c>
      <x:c r="F3" s="18" t="str">
        <x:v>待完成</x:v>
      </x:c>
      <x:c r="G3" s="18" t="str">
        <x:v>完成率</x:v>
      </x:c>
      <x:c r="H3" s="18" t="str">
        <x:v>原子任务判定</x:v>
      </x:c>
    </x:row>
    <x:row r="4">
      <x:c r="A4" s="14" t="str">
        <x:v>前端开发计划</x:v>
      </x:c>
      <x:c r="B4" s="14" t="n">
        <x:f>COUNTA(_xlfn.UNIQUE('前端开发计划'!$B$4:$B$400))</x:f>
        <x:v>6</x:v>
      </x:c>
      <x:c r="C4" s="14" t="n">
        <x:f>COUNTA(_xlfn.UNIQUE('前端开发计划'!$D$4:$D$400))</x:f>
        <x:v>23</x:v>
      </x:c>
      <x:c r="D4" s="14" t="n">
        <x:f>COUNTA('前端开发计划'!$E$4:$E$400)</x:f>
        <x:v>257</x:v>
      </x:c>
      <x:c r="E4" s="14" t="n">
        <x:f>COUNTIF('前端开发计划'!K4:K260,"已完成")</x:f>
        <x:v>56</x:v>
      </x:c>
      <x:c r="F4" s="14" t="n">
        <x:f>D4-E4</x:f>
        <x:v>201</x:v>
      </x:c>
      <x:c r="G4" s="15" t="n">
        <x:f>E4/D4</x:f>
        <x:v>0.2178988326848249</x:v>
      </x:c>
      <x:c r="H4" s="14" t="str">
        <x:v>一个动作、一个交付物、一个独立验收结果</x:v>
      </x:c>
    </x:row>
    <x:row r="5">
      <x:c r="A5" s="14" t="str">
        <x:v>后端开发计划</x:v>
      </x:c>
      <x:c r="B5" s="14" t="n">
        <x:f>COUNTA(_xlfn.UNIQUE('后端开发计划'!$B$4:$B$400))</x:f>
        <x:v>6</x:v>
      </x:c>
      <x:c r="C5" s="14" t="n">
        <x:f>COUNTA(_xlfn.UNIQUE('后端开发计划'!$D$4:$D$400))</x:f>
        <x:v>39</x:v>
      </x:c>
      <x:c r="D5" s="14" t="n">
        <x:f>COUNTA('后端开发计划'!E4:E294)</x:f>
        <x:v>291</x:v>
      </x:c>
      <x:c r="E5" s="14" t="n">
        <x:f>COUNTIF('后端开发计划'!K4:K294,"已完成")</x:f>
        <x:v>67</x:v>
      </x:c>
      <x:c r="F5" s="14" t="n">
        <x:f>D5-E5</x:f>
        <x:v>224</x:v>
      </x:c>
      <x:c r="G5" s="15" t="n">
        <x:f>E5/D5</x:f>
        <x:v>0.23024054982817868</x:v>
      </x:c>
      <x:c r="H5" s="14" t="str">
        <x:v>一个动作、一个交付物、一个独立验收结果</x:v>
      </x:c>
    </x:row>
    <x:row r="7" ht="38" customHeight="1">
      <x:c r="A7" s="6" t="str">
        <x:v>拆分停止条件：任务可由单一责任端在约0.5–1个开发日内完成，且无需再用“以及/并且”描述第二个独立行为。</x:v>
      </x:c>
      <x:c r="B7" s="6"/>
      <x:c r="C7" s="6"/>
      <x:c r="D7" s="6"/>
      <x:c r="E7" s="6"/>
      <x:c r="F7" s="6"/>
      <x:c r="G7" s="6"/>
      <x:c r="H7" s="6"/>
    </x:row>
  </x:sheetData>
  <x:mergeCells>
    <x:mergeCell ref="A1:H1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2" hidden="0" customWidth="1"/>
    <x:col min="7" max="7" width="42" hidden="0" customWidth="1"/>
    <x:col min="8" max="8" width="42" hidden="0" customWidth="1"/>
    <x:col min="9" max="9" width="52" hidden="0" customWidth="1"/>
    <x:col min="10" max="10" width="24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Bamboo IconGen 前端原子级开发计划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每行是不可再拆的原子任务：单一动作、单一交付物、单一验收结果；完成状态必须有代码或文档证据。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PRD需求ID</x:v>
      </x:c>
      <x:c r="D3" s="11" t="str">
        <x:v>功能点</x:v>
      </x:c>
      <x:c r="E3" s="11" t="str">
        <x:v>原子任务ID</x:v>
      </x:c>
      <x:c r="F3" s="11" t="str">
        <x:v>责任端</x:v>
      </x:c>
      <x:c r="G3" s="11" t="str">
        <x:v>原子开发任务</x:v>
      </x:c>
      <x:c r="H3" s="11" t="str">
        <x:v>唯一交付物</x:v>
      </x:c>
      <x:c r="I3" s="11" t="str">
        <x:v>独立验收标准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68" customHeight="1">
      <x:c r="A4" s="13" t="str">
        <x:v>第 1 期</x:v>
      </x:c>
      <x:c r="B4" s="13" t="str">
        <x:v>6. 平台、工程与上线</x:v>
      </x:c>
      <x:c r="C4" s="13" t="str">
        <x:v>ENG-FE</x:v>
      </x:c>
      <x:c r="D4" s="13" t="str">
        <x:v>前端工程与设计系统</x:v>
      </x:c>
      <x:c r="E4" s="13" t="str">
        <x:v>FE-BASE-01</x:v>
      </x:c>
      <x:c r="F4" s="13" t="str">
        <x:v>前端</x:v>
      </x:c>
      <x:c r="G4" s="13" t="str">
        <x:v>建立Next.js路由分组</x:v>
      </x:c>
      <x:c r="H4" s="13" t="str">
        <x:v>营销/认证/工作区/运营路由布局</x:v>
      </x:c>
      <x:c r="I4" s="13" t="str">
        <x:v>各布局边界清晰且路由可访问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配置/Skill/模型/部署版本；provider request ID；环境标识</x:v>
      </x:c>
      <x:c r="O4" s="13" t="str">
        <x:v>服务health；配置启停；队列queued/processing/DLQ</x:v>
      </x:c>
      <x:c r="P4" s="13" t="str">
        <x:v>配置缺失、密钥无效、限流、部署失败、队列积压、重复定时任务</x:v>
      </x:c>
      <x:c r="Q4" s="13" t="str">
        <x:v>环境隔离、最小权限、生产审计、日志脱敏</x:v>
      </x:c>
      <x:c r="R4" s="13" t="str">
        <x:v>部署可回滚；Worker/清理任务可重入；密钥不入库不导出</x:v>
      </x:c>
    </x:row>
    <x:row r="5" ht="68" customHeight="1">
      <x:c r="A5" s="13" t="str">
        <x:v>第 1 期</x:v>
      </x:c>
      <x:c r="B5" s="13" t="str">
        <x:v>6. 平台、工程与上线</x:v>
      </x:c>
      <x:c r="C5" s="13" t="str">
        <x:v>ENG-FE</x:v>
      </x:c>
      <x:c r="D5" s="13" t="str">
        <x:v>前端工程与设计系统</x:v>
      </x:c>
      <x:c r="E5" s="13" t="str">
        <x:v>FE-BASE-02</x:v>
      </x:c>
      <x:c r="F5" s="13" t="str">
        <x:v>前端</x:v>
      </x:c>
      <x:c r="G5" s="13" t="str">
        <x:v>定义视觉Token</x:v>
      </x:c>
      <x:c r="H5" s="13" t="str">
        <x:v>颜色、字体、圆角、阴影、间距变量</x:v>
      </x:c>
      <x:c r="I5" s="13" t="str">
        <x:v>组件不硬编码重复设计值</x:v>
      </x:c>
      <x:c r="J5" s="13" t="str">
        <x:v>—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配置/Skill/模型/部署版本；provider request ID；环境标识</x:v>
      </x:c>
      <x:c r="O5" s="13" t="str">
        <x:v>服务health；配置启停；队列queued/processing/DLQ</x:v>
      </x:c>
      <x:c r="P5" s="13" t="str">
        <x:v>配置缺失、密钥无效、限流、部署失败、队列积压、重复定时任务</x:v>
      </x:c>
      <x:c r="Q5" s="13" t="str">
        <x:v>环境隔离、最小权限、生产审计、日志脱敏</x:v>
      </x:c>
      <x:c r="R5" s="13" t="str">
        <x:v>部署可回滚；Worker/清理任务可重入；密钥不入库不导出</x:v>
      </x:c>
    </x:row>
    <x:row r="6" ht="68" customHeight="1">
      <x:c r="A6" s="13" t="str">
        <x:v>第 1 期</x:v>
      </x:c>
      <x:c r="B6" s="13" t="str">
        <x:v>6. 平台、工程与上线</x:v>
      </x:c>
      <x:c r="C6" s="13" t="str">
        <x:v>ENG-FE</x:v>
      </x:c>
      <x:c r="D6" s="13" t="str">
        <x:v>前端工程与设计系统</x:v>
      </x:c>
      <x:c r="E6" s="13" t="str">
        <x:v>FE-BASE-03</x:v>
      </x:c>
      <x:c r="F6" s="13" t="str">
        <x:v>前端</x:v>
      </x:c>
      <x:c r="G6" s="13" t="str">
        <x:v>建立基础组件</x:v>
      </x:c>
      <x:c r="H6" s="13" t="str">
        <x:v>Button、Card、Header、StatusBadge</x:v>
      </x:c>
      <x:c r="I6" s="13" t="str">
        <x:v>变体类型安全且焦点状态可见</x:v>
      </x:c>
      <x:c r="J6" s="13" t="str">
        <x:v>—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配置/Skill/模型/部署版本；provider request ID；环境标识</x:v>
      </x:c>
      <x:c r="O6" s="13" t="str">
        <x:v>服务health；配置启停；队列queued/processing/DLQ</x:v>
      </x:c>
      <x:c r="P6" s="13" t="str">
        <x:v>配置缺失、密钥无效、限流、部署失败、队列积压、重复定时任务</x:v>
      </x:c>
      <x:c r="Q6" s="13" t="str">
        <x:v>环境隔离、最小权限、生产审计、日志脱敏</x:v>
      </x:c>
      <x:c r="R6" s="13" t="str">
        <x:v>部署可回滚；Worker/清理任务可重入；密钥不入库不导出</x:v>
      </x:c>
    </x:row>
    <x:row r="7" ht="68" customHeight="1">
      <x:c r="A7" s="13" t="str">
        <x:v>第 1 期</x:v>
      </x:c>
      <x:c r="B7" s="13" t="str">
        <x:v>6. 平台、工程与上线</x:v>
      </x:c>
      <x:c r="C7" s="13" t="str">
        <x:v>ENG-FE</x:v>
      </x:c>
      <x:c r="D7" s="13" t="str">
        <x:v>前端工程与设计系统</x:v>
      </x:c>
      <x:c r="E7" s="13" t="str">
        <x:v>FE-BASE-04</x:v>
      </x:c>
      <x:c r="F7" s="13" t="str">
        <x:v>前端</x:v>
      </x:c>
      <x:c r="G7" s="13" t="str">
        <x:v>建立响应式页面容器</x:v>
      </x:c>
      <x:c r="H7" s="13" t="str">
        <x:v>桌面/平板/手机断点规则</x:v>
      </x:c>
      <x:c r="I7" s="13" t="str">
        <x:v>320px至桌面宽度无横向溢出</x:v>
      </x:c>
      <x:c r="J7" s="13" t="str">
        <x:v>—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配置/Skill/模型/部署版本；provider request ID；环境标识</x:v>
      </x:c>
      <x:c r="O7" s="13" t="str">
        <x:v>服务health；配置启停；队列queued/processing/DLQ</x:v>
      </x:c>
      <x:c r="P7" s="13" t="str">
        <x:v>配置缺失、密钥无效、限流、部署失败、队列积压、重复定时任务</x:v>
      </x:c>
      <x:c r="Q7" s="13" t="str">
        <x:v>环境隔离、最小权限、生产审计、日志脱敏</x:v>
      </x:c>
      <x:c r="R7" s="13" t="str">
        <x:v>部署可回滚；Worker/清理任务可重入；密钥不入库不导出</x:v>
      </x:c>
    </x:row>
    <x:row r="8" ht="68" customHeight="1">
      <x:c r="A8" s="13" t="str">
        <x:v>第 1 期</x:v>
      </x:c>
      <x:c r="B8" s="13" t="str">
        <x:v>6. 平台、工程与上线</x:v>
      </x:c>
      <x:c r="C8" s="13" t="str">
        <x:v>ENG-FE</x:v>
      </x:c>
      <x:c r="D8" s="13" t="str">
        <x:v>前端工程与设计系统</x:v>
      </x:c>
      <x:c r="E8" s="13" t="str">
        <x:v>FE-BASE-05</x:v>
      </x:c>
      <x:c r="F8" s="13" t="str">
        <x:v>前端</x:v>
      </x:c>
      <x:c r="G8" s="13" t="str">
        <x:v>建立前端质量命令</x:v>
      </x:c>
      <x:c r="H8" s="13" t="str">
        <x:v>typecheck、lint、test脚本</x:v>
      </x:c>
      <x:c r="I8" s="13" t="str">
        <x:v>本地和CI可重复运行且退出码正确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配置/Skill/模型/部署版本；provider request ID；环境标识</x:v>
      </x:c>
      <x:c r="O8" s="13" t="str">
        <x:v>服务health；配置启停；队列queued/processing/DLQ</x:v>
      </x:c>
      <x:c r="P8" s="13" t="str">
        <x:v>配置缺失、密钥无效、限流、部署失败、队列积压、重复定时任务</x:v>
      </x:c>
      <x:c r="Q8" s="13" t="str">
        <x:v>环境隔离、最小权限、生产审计、日志脱敏</x:v>
      </x:c>
      <x:c r="R8" s="13" t="str">
        <x:v>部署可回滚；Worker/清理任务可重入；密钥不入库不导出</x:v>
      </x:c>
    </x:row>
    <x:row r="9" ht="68" customHeight="1">
      <x:c r="A9" s="13" t="str">
        <x:v>第 1 期</x:v>
      </x:c>
      <x:c r="B9" s="13" t="str">
        <x:v>6. 平台、工程与上线</x:v>
      </x:c>
      <x:c r="C9" s="13" t="str">
        <x:v>I18N-001</x:v>
      </x:c>
      <x:c r="D9" s="13" t="str">
        <x:v>中英文基础</x:v>
      </x:c>
      <x:c r="E9" s="13" t="str">
        <x:v>FE-I18N-01</x:v>
      </x:c>
      <x:c r="F9" s="13" t="str">
        <x:v>前端</x:v>
      </x:c>
      <x:c r="G9" s="13" t="str">
        <x:v>建立Locale Provider</x:v>
      </x:c>
      <x:c r="H9" s="13" t="str">
        <x:v>全局locale状态与持久化</x:v>
      </x:c>
      <x:c r="I9" s="13" t="str">
        <x:v>默认英文；切换后刷新保持</x:v>
      </x:c>
      <x:c r="J9" s="13" t="str">
        <x:v>—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配置/Skill/模型/部署版本；provider request ID；环境标识</x:v>
      </x:c>
      <x:c r="O9" s="13" t="str">
        <x:v>服务health；配置启停；队列queued/processing/DLQ</x:v>
      </x:c>
      <x:c r="P9" s="13" t="str">
        <x:v>配置缺失、密钥无效、限流、部署失败、队列积压、重复定时任务</x:v>
      </x:c>
      <x:c r="Q9" s="13" t="str">
        <x:v>环境隔离、最小权限、生产审计、日志脱敏</x:v>
      </x:c>
      <x:c r="R9" s="13" t="str">
        <x:v>部署可回滚；Worker/清理任务可重入；密钥不入库不导出</x:v>
      </x:c>
    </x:row>
    <x:row r="10" ht="68" customHeight="1">
      <x:c r="A10" s="13" t="str">
        <x:v>第 1 期</x:v>
      </x:c>
      <x:c r="B10" s="13" t="str">
        <x:v>6. 平台、工程与上线</x:v>
      </x:c>
      <x:c r="C10" s="13" t="str">
        <x:v>I18N-001</x:v>
      </x:c>
      <x:c r="D10" s="13" t="str">
        <x:v>中英文基础</x:v>
      </x:c>
      <x:c r="E10" s="13" t="str">
        <x:v>FE-I18N-02</x:v>
      </x:c>
      <x:c r="F10" s="13" t="str">
        <x:v>前端</x:v>
      </x:c>
      <x:c r="G10" s="13" t="str">
        <x:v>实现语言切换控件</x:v>
      </x:c>
      <x:c r="H10" s="13" t="str">
        <x:v>中英文切换按钮</x:v>
      </x:c>
      <x:c r="I10" s="13" t="str">
        <x:v>键盘可用且当前语言明确</x:v>
      </x:c>
      <x:c r="J10" s="13" t="str">
        <x:v>—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配置/Skill/模型/部署版本；provider request ID；环境标识</x:v>
      </x:c>
      <x:c r="O10" s="13" t="str">
        <x:v>服务health；配置启停；队列queued/processing/DLQ</x:v>
      </x:c>
      <x:c r="P10" s="13" t="str">
        <x:v>配置缺失、密钥无效、限流、部署失败、队列积压、重复定时任务</x:v>
      </x:c>
      <x:c r="Q10" s="13" t="str">
        <x:v>环境隔离、最小权限、生产审计、日志脱敏</x:v>
      </x:c>
      <x:c r="R10" s="13" t="str">
        <x:v>部署可回滚；Worker/清理任务可重入；密钥不入库不导出</x:v>
      </x:c>
    </x:row>
    <x:row r="11" ht="68" customHeight="1">
      <x:c r="A11" s="13" t="str">
        <x:v>第 1 期</x:v>
      </x:c>
      <x:c r="B11" s="13" t="str">
        <x:v>6. 平台、工程与上线</x:v>
      </x:c>
      <x:c r="C11" s="13" t="str">
        <x:v>I18N-001</x:v>
      </x:c>
      <x:c r="D11" s="13" t="str">
        <x:v>中英文基础</x:v>
      </x:c>
      <x:c r="E11" s="13" t="str">
        <x:v>FE-I18N-03</x:v>
      </x:c>
      <x:c r="F11" s="13" t="str">
        <x:v>前端</x:v>
      </x:c>
      <x:c r="G11" s="13" t="str">
        <x:v>统一稳定ID与显示文案</x:v>
      </x:c>
      <x:c r="H11" s="13" t="str">
        <x:v>ID/label分离规则</x:v>
      </x:c>
      <x:c r="I11" s="13" t="str">
        <x:v>切换语言不改变提交值或URL</x:v>
      </x:c>
      <x:c r="J11" s="13" t="str">
        <x:v>—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配置/Skill/模型/部署版本；provider request ID；环境标识</x:v>
      </x:c>
      <x:c r="O11" s="13" t="str">
        <x:v>服务health；配置启停；队列queued/processing/DLQ</x:v>
      </x:c>
      <x:c r="P11" s="13" t="str">
        <x:v>配置缺失、密钥无效、限流、部署失败、队列积压、重复定时任务</x:v>
      </x:c>
      <x:c r="Q11" s="13" t="str">
        <x:v>环境隔离、最小权限、生产审计、日志脱敏</x:v>
      </x:c>
      <x:c r="R11" s="13" t="str">
        <x:v>部署可回滚；Worker/清理任务可重入；密钥不入库不导出</x:v>
      </x:c>
    </x:row>
    <x:row r="12" ht="68" customHeight="1">
      <x:c r="A12" s="13" t="str">
        <x:v>第 1 期</x:v>
      </x:c>
      <x:c r="B12" s="13" t="str">
        <x:v>6. 平台、工程与上线</x:v>
      </x:c>
      <x:c r="C12" s="13" t="str">
        <x:v>MKT-001</x:v>
      </x:c>
      <x:c r="D12" s="13" t="str">
        <x:v>首页与价格展示</x:v>
      </x:c>
      <x:c r="E12" s="13" t="str">
        <x:v>FE-MKT-01</x:v>
      </x:c>
      <x:c r="F12" s="13" t="str">
        <x:v>前端</x:v>
      </x:c>
      <x:c r="G12" s="13" t="str">
        <x:v>建立首页和价格页路由与页面边界</x:v>
      </x:c>
      <x:c r="H12" s="13" t="str">
        <x:v>首页、价格页、Bamboo IconGen 品牌导航和登录态导航</x:v>
      </x:c>
      <x:c r="I12" s="13" t="str">
        <x:v>公开页可访问；访客不展示创建图标；登录态展示图标生成、我的图标和用户菜单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2026-08-21</x:v>
      </x:c>
      <x:c r="N12" s="13" t="str">
        <x:v>配置/Skill/模型/部署版本；provider request ID；环境标识</x:v>
      </x:c>
      <x:c r="O12" s="13" t="str">
        <x:v>服务health；配置启停；队列queued/processing/DLQ</x:v>
      </x:c>
      <x:c r="P12" s="13" t="str">
        <x:v>配置缺失、密钥无效、限流、部署失败、队列积压、重复定时任务</x:v>
      </x:c>
      <x:c r="Q12" s="13" t="str">
        <x:v>环境隔离、最小权限、生产审计、日志脱敏</x:v>
      </x:c>
      <x:c r="R12" s="13" t="str">
        <x:v>部署可回滚；Worker/清理任务可重入；密钥不入库不导出</x:v>
      </x:c>
    </x:row>
    <x:row r="13" ht="68" customHeight="1">
      <x:c r="A13" s="13" t="str">
        <x:v>第 1 期</x:v>
      </x:c>
      <x:c r="B13" s="13" t="str">
        <x:v>6. 平台、工程与上线</x:v>
      </x:c>
      <x:c r="C13" s="13" t="str">
        <x:v>MKT-001</x:v>
      </x:c>
      <x:c r="D13" s="13" t="str">
        <x:v>首页与价格展示</x:v>
      </x:c>
      <x:c r="E13" s="13" t="str">
        <x:v>FE-MKT-02</x:v>
      </x:c>
      <x:c r="F13" s="13" t="str">
        <x:v>前端</x:v>
      </x:c>
      <x:c r="G13" s="13" t="str">
        <x:v>定义首页和价格页页面状态模型</x:v>
      </x:c>
      <x:c r="H13" s="13" t="str">
        <x:v>页面状态类型与初始化逻辑</x:v>
      </x:c>
      <x:c r="I13" s="13" t="str">
        <x:v>每个状态只有一个含义；刷新后可恢复服务端状态</x:v>
      </x:c>
      <x:c r="J13" s="13" t="str">
        <x:v>FE-MKT-01</x:v>
      </x:c>
      <x:c r="K13" s="13" t="str">
        <x:v>待完成</x:v>
      </x:c>
      <x:c r="L13" s="13" t="str">
        <x:v>08-20</x:v>
      </x:c>
      <x:c r="M13" s="13" t="str">
        <x:v>—</x:v>
      </x:c>
      <x:c r="N13" s="13" t="str">
        <x:v>配置/Skill/模型/部署版本；provider request ID；环境标识</x:v>
      </x:c>
      <x:c r="O13" s="13" t="str">
        <x:v>服务health；配置启停；队列queued/processing/DLQ</x:v>
      </x:c>
      <x:c r="P13" s="13" t="str">
        <x:v>配置缺失、密钥无效、限流、部署失败、队列积压、重复定时任务</x:v>
      </x:c>
      <x:c r="Q13" s="13" t="str">
        <x:v>环境隔离、最小权限、生产审计、日志脱敏</x:v>
      </x:c>
      <x:c r="R13" s="13" t="str">
        <x:v>部署可回滚；Worker/清理任务可重入；密钥不入库不导出</x:v>
      </x:c>
    </x:row>
    <x:row r="14" ht="68" customHeight="1">
      <x:c r="A14" s="13" t="str">
        <x:v>第 1 期</x:v>
      </x:c>
      <x:c r="B14" s="13" t="str">
        <x:v>6. 平台、工程与上线</x:v>
      </x:c>
      <x:c r="C14" s="13" t="str">
        <x:v>MKT-001</x:v>
      </x:c>
      <x:c r="D14" s="13" t="str">
        <x:v>首页与价格展示</x:v>
      </x:c>
      <x:c r="E14" s="13" t="str">
        <x:v>FE-MKT-03</x:v>
      </x:c>
      <x:c r="F14" s="13" t="str">
        <x:v>前端</x:v>
      </x:c>
      <x:c r="G14" s="13" t="str">
        <x:v>展示UI功能图标定位</x:v>
      </x:c>
      <x:c r="H14" s="13" t="str">
        <x:v>Hero与能力说明</x:v>
      </x:c>
      <x:c r="I14" s="13" t="str">
        <x:v>不再出现App Store图标生成器误导</x:v>
      </x:c>
      <x:c r="J14" s="13" t="str">
        <x:v>—</x:v>
      </x:c>
      <x:c r="K14" s="13" t="str">
        <x:v>已完成</x:v>
      </x:c>
      <x:c r="L14" s="13" t="str">
        <x:v>08-20</x:v>
      </x:c>
      <x:c r="M14" s="13" t="str">
        <x:v>2026-08-21</x:v>
      </x:c>
      <x:c r="N14" s="13" t="str">
        <x:v>配置/Skill/模型/部署版本；provider request ID；环境标识</x:v>
      </x:c>
      <x:c r="O14" s="13" t="str">
        <x:v>服务health；配置启停；队列queued/processing/DLQ</x:v>
      </x:c>
      <x:c r="P14" s="13" t="str">
        <x:v>配置缺失、密钥无效、限流、部署失败、队列积压、重复定时任务</x:v>
      </x:c>
      <x:c r="Q14" s="13" t="str">
        <x:v>环境隔离、最小权限、生产审计、日志脱敏</x:v>
      </x:c>
      <x:c r="R14" s="13" t="str">
        <x:v>部署可回滚；Worker/清理任务可重入；密钥不入库不导出</x:v>
      </x:c>
    </x:row>
    <x:row r="15" ht="68" customHeight="1">
      <x:c r="A15" s="13" t="str">
        <x:v>第 1 期</x:v>
      </x:c>
      <x:c r="B15" s="13" t="str">
        <x:v>6. 平台、工程与上线</x:v>
      </x:c>
      <x:c r="C15" s="13" t="str">
        <x:v>MKT-001</x:v>
      </x:c>
      <x:c r="D15" s="13" t="str">
        <x:v>首页与价格展示</x:v>
      </x:c>
      <x:c r="E15" s="13" t="str">
        <x:v>FE-MKT-04</x:v>
      </x:c>
      <x:c r="F15" s="13" t="str">
        <x:v>前端</x:v>
      </x:c>
      <x:c r="G15" s="13" t="str">
        <x:v>展示三个点数包</x:v>
      </x:c>
      <x:c r="H15" s="13" t="str">
        <x:v>30/$2.99、75/$6.49、180/$12.99卡片</x:v>
      </x:c>
      <x:c r="I15" s="13" t="str">
        <x:v>价格、点数和推荐标识准确</x:v>
      </x:c>
      <x:c r="J15" s="13" t="str">
        <x:v>—</x:v>
      </x:c>
      <x:c r="K15" s="13" t="str">
        <x:v>已完成</x:v>
      </x:c>
      <x:c r="L15" s="13" t="str">
        <x:v>08-20</x:v>
      </x:c>
      <x:c r="M15" s="13" t="str">
        <x:v>2026-08-21</x:v>
      </x:c>
      <x:c r="N15" s="13" t="str">
        <x:v>配置/Skill/模型/部署版本；provider request ID；环境标识</x:v>
      </x:c>
      <x:c r="O15" s="13" t="str">
        <x:v>服务health；配置启停；队列queued/processing/DLQ</x:v>
      </x:c>
      <x:c r="P15" s="13" t="str">
        <x:v>配置缺失、密钥无效、限流、部署失败、队列积压、重复定时任务</x:v>
      </x:c>
      <x:c r="Q15" s="13" t="str">
        <x:v>环境隔离、最小权限、生产审计、日志脱敏</x:v>
      </x:c>
      <x:c r="R15" s="13" t="str">
        <x:v>部署可回滚；Worker/清理任务可重入；密钥不入库不导出</x:v>
      </x:c>
    </x:row>
    <x:row r="16" ht="68" customHeight="1">
      <x:c r="A16" s="13" t="str">
        <x:v>第 1 期</x:v>
      </x:c>
      <x:c r="B16" s="13" t="str">
        <x:v>6. 平台、工程与上线</x:v>
      </x:c>
      <x:c r="C16" s="13" t="str">
        <x:v>MKT-001</x:v>
      </x:c>
      <x:c r="D16" s="13" t="str">
        <x:v>首页与价格展示</x:v>
      </x:c>
      <x:c r="E16" s="13" t="str">
        <x:v>FE-MKT-05</x:v>
      </x:c>
      <x:c r="F16" s="13" t="str">
        <x:v>前端</x:v>
      </x:c>
      <x:c r="G16" s="13" t="str">
        <x:v>接入首页和价格页服务端接口</x:v>
      </x:c>
      <x:c r="H16" s="13" t="str">
        <x:v>GET /api/billing/packages客户端适配器</x:v>
      </x:c>
      <x:c r="I16" s="13" t="str">
        <x:v>请求字段与共享Schema一致；不在组件内拼装不受控请求</x:v>
      </x:c>
      <x:c r="J16" s="13" t="str">
        <x:v>FE-MKT-02</x:v>
      </x:c>
      <x:c r="K16" s="13" t="str">
        <x:v>待完成</x:v>
      </x:c>
      <x:c r="L16" s="13" t="str">
        <x:v>08-20</x:v>
      </x:c>
      <x:c r="M16" s="13" t="str">
        <x:v>—</x:v>
      </x:c>
      <x:c r="N16" s="13" t="str">
        <x:v>配置/Skill/模型/部署版本；provider request ID；环境标识</x:v>
      </x:c>
      <x:c r="O16" s="13" t="str">
        <x:v>服务health；配置启停；队列queued/processing/DLQ</x:v>
      </x:c>
      <x:c r="P16" s="13" t="str">
        <x:v>配置缺失、密钥无效、限流、部署失败、队列积压、重复定时任务</x:v>
      </x:c>
      <x:c r="Q16" s="13" t="str">
        <x:v>环境隔离、最小权限、生产审计、日志脱敏</x:v>
      </x:c>
      <x:c r="R16" s="13" t="str">
        <x:v>部署可回滚；Worker/清理任务可重入；密钥不入库不导出</x:v>
      </x:c>
    </x:row>
    <x:row r="17" ht="68" customHeight="1">
      <x:c r="A17" s="13" t="str">
        <x:v>第 1 期</x:v>
      </x:c>
      <x:c r="B17" s="13" t="str">
        <x:v>6. 平台、工程与上线</x:v>
      </x:c>
      <x:c r="C17" s="13" t="str">
        <x:v>MKT-001</x:v>
      </x:c>
      <x:c r="D17" s="13" t="str">
        <x:v>首页与价格展示</x:v>
      </x:c>
      <x:c r="E17" s="13" t="str">
        <x:v>FE-MKT-06</x:v>
      </x:c>
      <x:c r="F17" s="13" t="str">
        <x:v>前端</x:v>
      </x:c>
      <x:c r="G17" s="13" t="str">
        <x:v>实现首页和价格页加载状态</x:v>
      </x:c>
      <x:c r="H17" s="13" t="str">
        <x:v>骨架屏或进度反馈</x:v>
      </x:c>
      <x:c r="I17" s="13" t="str">
        <x:v>请求期间有可感知反馈；重复操作被禁用</x:v>
      </x:c>
      <x:c r="J17" s="13" t="str">
        <x:v>FE-MKT-02</x:v>
      </x:c>
      <x:c r="K17" s="13" t="str">
        <x:v>待完成</x:v>
      </x:c>
      <x:c r="L17" s="13" t="str">
        <x:v>08-20</x:v>
      </x:c>
      <x:c r="M17" s="13" t="str">
        <x:v>—</x:v>
      </x:c>
      <x:c r="N17" s="13" t="str">
        <x:v>配置/Skill/模型/部署版本；provider request ID；环境标识</x:v>
      </x:c>
      <x:c r="O17" s="13" t="str">
        <x:v>服务health；配置启停；队列queued/processing/DLQ</x:v>
      </x:c>
      <x:c r="P17" s="13" t="str">
        <x:v>配置缺失、密钥无效、限流、部署失败、队列积压、重复定时任务</x:v>
      </x:c>
      <x:c r="Q17" s="13" t="str">
        <x:v>环境隔离、最小权限、生产审计、日志脱敏</x:v>
      </x:c>
      <x:c r="R17" s="13" t="str">
        <x:v>部署可回滚；Worker/清理任务可重入；密钥不入库不导出</x:v>
      </x:c>
    </x:row>
    <x:row r="18" ht="68" customHeight="1">
      <x:c r="A18" s="13" t="str">
        <x:v>第 1 期</x:v>
      </x:c>
      <x:c r="B18" s="13" t="str">
        <x:v>6. 平台、工程与上线</x:v>
      </x:c>
      <x:c r="C18" s="13" t="str">
        <x:v>MKT-001</x:v>
      </x:c>
      <x:c r="D18" s="13" t="str">
        <x:v>首页与价格展示</x:v>
      </x:c>
      <x:c r="E18" s="13" t="str">
        <x:v>FE-MKT-07</x:v>
      </x:c>
      <x:c r="F18" s="13" t="str">
        <x:v>前端</x:v>
      </x:c>
      <x:c r="G18" s="13" t="str">
        <x:v>实现首页和价格页错误映射</x:v>
      </x:c>
      <x:c r="H18" s="13" t="str">
        <x:v>稳定错误码到双语用户文案的映射</x:v>
      </x:c>
      <x:c r="I18" s="13" t="str">
        <x:v>业务错误可恢复；未知错误不泄露内部信息</x:v>
      </x:c>
      <x:c r="J18" s="13" t="str">
        <x:v>FE-MKT-02</x:v>
      </x:c>
      <x:c r="K18" s="13" t="str">
        <x:v>待完成</x:v>
      </x:c>
      <x:c r="L18" s="13" t="str">
        <x:v>08-20</x:v>
      </x:c>
      <x:c r="M18" s="13" t="str">
        <x:v>—</x:v>
      </x:c>
      <x:c r="N18" s="13" t="str">
        <x:v>配置/Skill/模型/部署版本；provider request ID；环境标识</x:v>
      </x:c>
      <x:c r="O18" s="13" t="str">
        <x:v>服务health；配置启停；队列queued/processing/DLQ</x:v>
      </x:c>
      <x:c r="P18" s="13" t="str">
        <x:v>配置缺失、密钥无效、限流、部署失败、队列积压、重复定时任务</x:v>
      </x:c>
      <x:c r="Q18" s="13" t="str">
        <x:v>环境隔离、最小权限、生产审计、日志脱敏</x:v>
      </x:c>
      <x:c r="R18" s="13" t="str">
        <x:v>部署可回滚；Worker/清理任务可重入；密钥不入库不导出</x:v>
      </x:c>
    </x:row>
    <x:row r="19" ht="68" customHeight="1">
      <x:c r="A19" s="13" t="str">
        <x:v>第 1 期</x:v>
      </x:c>
      <x:c r="B19" s="13" t="str">
        <x:v>6. 平台、工程与上线</x:v>
      </x:c>
      <x:c r="C19" s="13" t="str">
        <x:v>MKT-001</x:v>
      </x:c>
      <x:c r="D19" s="13" t="str">
        <x:v>首页与价格展示</x:v>
      </x:c>
      <x:c r="E19" s="13" t="str">
        <x:v>FE-MKT-08</x:v>
      </x:c>
      <x:c r="F19" s="13" t="str">
        <x:v>前端</x:v>
      </x:c>
      <x:c r="G19" s="13" t="str">
        <x:v>完成首页和价格页中英文文案</x:v>
      </x:c>
      <x:c r="H19" s="13" t="str">
        <x:v>首页、价格、认证页与全局导航 en/zh 词条</x:v>
      </x:c>
      <x:c r="I19" s="13" t="str">
        <x:v>主副标题、导航、按钮及账户文案切换后含义一致</x:v>
      </x:c>
      <x:c r="J19" s="13" t="str">
        <x:v>—</x:v>
      </x:c>
      <x:c r="K19" s="13" t="str">
        <x:v>已完成</x:v>
      </x:c>
      <x:c r="L19" s="13" t="str">
        <x:v>08-20</x:v>
      </x:c>
      <x:c r="M19" s="13" t="str">
        <x:v>2026-08-21</x:v>
      </x:c>
      <x:c r="N19" s="13" t="str">
        <x:v>配置/Skill/模型/部署版本；provider request ID；环境标识</x:v>
      </x:c>
      <x:c r="O19" s="13" t="str">
        <x:v>服务health；配置启停；队列queued/processing/DLQ</x:v>
      </x:c>
      <x:c r="P19" s="13" t="str">
        <x:v>配置缺失、密钥无效、限流、部署失败、队列积压、重复定时任务</x:v>
      </x:c>
      <x:c r="Q19" s="13" t="str">
        <x:v>环境隔离、最小权限、生产审计、日志脱敏</x:v>
      </x:c>
      <x:c r="R19" s="13" t="str">
        <x:v>部署可回滚；Worker/清理任务可重入；密钥不入库不导出</x:v>
      </x:c>
    </x:row>
    <x:row r="20" ht="68" customHeight="1">
      <x:c r="A20" s="13" t="str">
        <x:v>第 1 期</x:v>
      </x:c>
      <x:c r="B20" s="13" t="str">
        <x:v>6. 平台、工程与上线</x:v>
      </x:c>
      <x:c r="C20" s="13" t="str">
        <x:v>MKT-001</x:v>
      </x:c>
      <x:c r="D20" s="13" t="str">
        <x:v>首页与价格展示</x:v>
      </x:c>
      <x:c r="E20" s="13" t="str">
        <x:v>FE-MKT-09</x:v>
      </x:c>
      <x:c r="F20" s="13" t="str">
        <x:v>前端</x:v>
      </x:c>
      <x:c r="G20" s="13" t="str">
        <x:v>完成首页和价格页键盘与屏幕阅读器支持</x:v>
      </x:c>
      <x:c r="H20" s="13" t="str">
        <x:v>语义标签、焦点顺序、aria-live</x:v>
      </x:c>
      <x:c r="I20" s="13" t="str">
        <x:v>仅键盘可完成主流程；错误与状态可被读出</x:v>
      </x:c>
      <x:c r="J20" s="13" t="str">
        <x:v>—</x:v>
      </x:c>
      <x:c r="K20" s="13" t="str">
        <x:v>待完成</x:v>
      </x:c>
      <x:c r="L20" s="13" t="str">
        <x:v>08-20</x:v>
      </x:c>
      <x:c r="M20" s="13" t="str">
        <x:v>—</x:v>
      </x:c>
      <x:c r="N20" s="13" t="str">
        <x:v>配置/Skill/模型/部署版本；provider request ID；环境标识</x:v>
      </x:c>
      <x:c r="O20" s="13" t="str">
        <x:v>服务health；配置启停；队列queued/processing/DLQ</x:v>
      </x:c>
      <x:c r="P20" s="13" t="str">
        <x:v>配置缺失、密钥无效、限流、部署失败、队列积压、重复定时任务</x:v>
      </x:c>
      <x:c r="Q20" s="13" t="str">
        <x:v>环境隔离、最小权限、生产审计、日志脱敏</x:v>
      </x:c>
      <x:c r="R20" s="13" t="str">
        <x:v>部署可回滚；Worker/清理任务可重入；密钥不入库不导出</x:v>
      </x:c>
    </x:row>
    <x:row r="21" ht="68" customHeight="1">
      <x:c r="A21" s="13" t="str">
        <x:v>第 1 期</x:v>
      </x:c>
      <x:c r="B21" s="13" t="str">
        <x:v>6. 平台、工程与上线</x:v>
      </x:c>
      <x:c r="C21" s="13" t="str">
        <x:v>MKT-001</x:v>
      </x:c>
      <x:c r="D21" s="13" t="str">
        <x:v>首页与价格展示</x:v>
      </x:c>
      <x:c r="E21" s="13" t="str">
        <x:v>FE-MKT-10</x:v>
      </x:c>
      <x:c r="F21" s="13" t="str">
        <x:v>前端</x:v>
      </x:c>
      <x:c r="G21" s="13" t="str">
        <x:v>编写首页和价格页组件测试</x:v>
      </x:c>
      <x:c r="H21" s="13" t="str">
        <x:v>组件与交互测试</x:v>
      </x:c>
      <x:c r="I21" s="13" t="str">
        <x:v>覆盖成功、校验失败、服务端失败和重复点击</x:v>
      </x:c>
      <x:c r="J21" s="13" t="str">
        <x:v>—</x:v>
      </x:c>
      <x:c r="K21" s="13" t="str">
        <x:v>待完成</x:v>
      </x:c>
      <x:c r="L21" s="13" t="str">
        <x:v>08-20</x:v>
      </x:c>
      <x:c r="M21" s="13" t="str">
        <x:v>—</x:v>
      </x:c>
      <x:c r="N21" s="13" t="str">
        <x:v>配置/Skill/模型/部署版本；provider request ID；环境标识</x:v>
      </x:c>
      <x:c r="O21" s="13" t="str">
        <x:v>服务health；配置启停；队列queued/processing/DLQ</x:v>
      </x:c>
      <x:c r="P21" s="13" t="str">
        <x:v>配置缺失、密钥无效、限流、部署失败、队列积压、重复定时任务</x:v>
      </x:c>
      <x:c r="Q21" s="13" t="str">
        <x:v>环境隔离、最小权限、生产审计、日志脱敏</x:v>
      </x:c>
      <x:c r="R21" s="13" t="str">
        <x:v>部署可回滚；Worker/清理任务可重入；密钥不入库不导出</x:v>
      </x:c>
    </x:row>
    <x:row r="22" ht="68" customHeight="1">
      <x:c r="A22" s="13" t="str">
        <x:v>第 1 期</x:v>
      </x:c>
      <x:c r="B22" s="13" t="str">
        <x:v>1. 用户、登录与账户</x:v>
      </x:c>
      <x:c r="C22" s="13" t="str">
        <x:v>AUTH-001</x:v>
      </x:c>
      <x:c r="D22" s="13" t="str">
        <x:v>邮箱注册</x:v>
      </x:c>
      <x:c r="E22" s="13" t="str">
        <x:v>FE-AUTH-REG-01</x:v>
      </x:c>
      <x:c r="F22" s="13" t="str">
        <x:v>前端</x:v>
      </x:c>
      <x:c r="G22" s="13" t="str">
        <x:v>建立注册页路由与页面边界</x:v>
      </x:c>
      <x:c r="H22" s="13" t="str">
        <x:v>注册页路由、页面组件和Metadata</x:v>
      </x:c>
      <x:c r="I22" s="13" t="str">
        <x:v>直接访问路由可渲染；未授权跳转符合PRD；无运行时错误</x:v>
      </x:c>
      <x:c r="J22" s="13" t="str">
        <x:v>—</x:v>
      </x:c>
      <x:c r="K22" s="13" t="str">
        <x:v>已完成</x:v>
      </x:c>
      <x:c r="L22" s="13" t="str">
        <x:v>08-27～08-28</x:v>
      </x:c>
      <x:c r="M22" s="13" t="str">
        <x:v>2026-08-20</x:v>
      </x:c>
      <x:c r="N22" s="13" t="str">
        <x:v>user_id(UUID)；删除申请ID；数据导出ID；邮箱仅作登录标识</x:v>
      </x:c>
      <x:c r="O22" s="13" t="str">
        <x:v>unverified/active/deletion_pending/deleted；导出queued/processing/ready/failed/expired</x:v>
      </x:c>
      <x:c r="P22" s="13" t="str">
        <x:v>重复注册、会话过期、未验证、活动任务阻止删除、导出过期</x:v>
      </x:c>
      <x:c r="Q22" s="13" t="str">
        <x:v>仅本人访问；高风险操作重新认证；Service Role仅后端</x:v>
      </x:c>
      <x:c r="R22" s="13" t="str">
        <x:v>账户初始化/赠点/删除/导出均幂等；删除宽限30天；导出24小时</x:v>
      </x:c>
    </x:row>
    <x:row r="23" ht="68" customHeight="1">
      <x:c r="A23" s="13" t="str">
        <x:v>第 1 期</x:v>
      </x:c>
      <x:c r="B23" s="13" t="str">
        <x:v>1. 用户、登录与账户</x:v>
      </x:c>
      <x:c r="C23" s="13" t="str">
        <x:v>AUTH-001</x:v>
      </x:c>
      <x:c r="D23" s="13" t="str">
        <x:v>邮箱注册</x:v>
      </x:c>
      <x:c r="E23" s="13" t="str">
        <x:v>FE-AUTH-REG-02</x:v>
      </x:c>
      <x:c r="F23" s="13" t="str">
        <x:v>前端</x:v>
      </x:c>
      <x:c r="G23" s="13" t="str">
        <x:v>定义注册页页面状态模型</x:v>
      </x:c>
      <x:c r="H23" s="13" t="str">
        <x:v>注册表单的输入、校验、提交中、成功与失败状态</x:v>
      </x:c>
      <x:c r="I23" s="13" t="str">
        <x:v>状态互斥；成功后提示检查邮箱；失败时保留可修正输入</x:v>
      </x:c>
      <x:c r="J23" s="13" t="str">
        <x:v>FE-AUTH-REG-01</x:v>
      </x:c>
      <x:c r="K23" s="13" t="str">
        <x:v>已完成</x:v>
      </x:c>
      <x:c r="L23" s="13" t="str">
        <x:v>08-27～08-28</x:v>
      </x:c>
      <x:c r="M23" s="13" t="str">
        <x:v>2026-08-21</x:v>
      </x:c>
      <x:c r="N23" s="13" t="str">
        <x:v>user_id(UUID)；删除申请ID；数据导出ID；邮箱仅作登录标识</x:v>
      </x:c>
      <x:c r="O23" s="13" t="str">
        <x:v>unverified/active/deletion_pending/deleted；导出queued/processing/ready/failed/expired</x:v>
      </x:c>
      <x:c r="P23" s="13" t="str">
        <x:v>重复注册、会话过期、未验证、活动任务阻止删除、导出过期</x:v>
      </x:c>
      <x:c r="Q23" s="13" t="str">
        <x:v>仅本人访问；高风险操作重新认证；Service Role仅后端</x:v>
      </x:c>
      <x:c r="R23" s="13" t="str">
        <x:v>账户初始化/赠点/删除/导出均幂等；删除宽限30天；导出24小时</x:v>
      </x:c>
    </x:row>
    <x:row r="24" ht="68" customHeight="1">
      <x:c r="A24" s="13" t="str">
        <x:v>第 1 期</x:v>
      </x:c>
      <x:c r="B24" s="13" t="str">
        <x:v>1. 用户、登录与账户</x:v>
      </x:c>
      <x:c r="C24" s="13" t="str">
        <x:v>AUTH-001</x:v>
      </x:c>
      <x:c r="D24" s="13" t="str">
        <x:v>邮箱注册</x:v>
      </x:c>
      <x:c r="E24" s="13" t="str">
        <x:v>FE-AUTH-REG-03</x:v>
      </x:c>
      <x:c r="F24" s="13" t="str">
        <x:v>前端</x:v>
      </x:c>
      <x:c r="G24" s="13" t="str">
        <x:v>建立注册字段状态</x:v>
      </x:c>
      <x:c r="H24" s="13" t="str">
        <x:v>邮箱、密码、确认密码、条款同意</x:v>
      </x:c>
      <x:c r="I24" s="13" t="str">
        <x:v>输入值和错误彼此独立</x:v>
      </x:c>
      <x:c r="J24" s="13" t="str">
        <x:v>—</x:v>
      </x:c>
      <x:c r="K24" s="13" t="str">
        <x:v>已完成</x:v>
      </x:c>
      <x:c r="L24" s="13" t="str">
        <x:v>08-27～08-28</x:v>
      </x:c>
      <x:c r="M24" s="13" t="str">
        <x:v>2026-08-20</x:v>
      </x:c>
      <x:c r="N24" s="13" t="str">
        <x:v>user_id(UUID)；删除申请ID；数据导出ID；邮箱仅作登录标识</x:v>
      </x:c>
      <x:c r="O24" s="13" t="str">
        <x:v>unverified/active/deletion_pending/deleted；导出queued/processing/ready/failed/expired</x:v>
      </x:c>
      <x:c r="P24" s="13" t="str">
        <x:v>重复注册、会话过期、未验证、活动任务阻止删除、导出过期</x:v>
      </x:c>
      <x:c r="Q24" s="13" t="str">
        <x:v>仅本人访问；高风险操作重新认证；Service Role仅后端</x:v>
      </x:c>
      <x:c r="R24" s="13" t="str">
        <x:v>账户初始化/赠点/删除/导出均幂等；删除宽限30天；导出24小时</x:v>
      </x:c>
    </x:row>
    <x:row r="25" ht="68" customHeight="1">
      <x:c r="A25" s="13" t="str">
        <x:v>第 1 期</x:v>
      </x:c>
      <x:c r="B25" s="13" t="str">
        <x:v>1. 用户、登录与账户</x:v>
      </x:c>
      <x:c r="C25" s="13" t="str">
        <x:v>AUTH-001</x:v>
      </x:c>
      <x:c r="D25" s="13" t="str">
        <x:v>邮箱注册</x:v>
      </x:c>
      <x:c r="E25" s="13" t="str">
        <x:v>FE-AUTH-REG-04</x:v>
      </x:c>
      <x:c r="F25" s="13" t="str">
        <x:v>前端</x:v>
      </x:c>
      <x:c r="G25" s="13" t="str">
        <x:v>实现注册客户端校验</x:v>
      </x:c>
      <x:c r="H25" s="13" t="str">
        <x:v>邮箱格式、密码规则、确认一致、条款必选</x:v>
      </x:c>
      <x:c r="I25" s="13" t="str">
        <x:v>无效数据不发请求</x:v>
      </x:c>
      <x:c r="J25" s="13" t="str">
        <x:v>—</x:v>
      </x:c>
      <x:c r="K25" s="13" t="str">
        <x:v>已完成</x:v>
      </x:c>
      <x:c r="L25" s="13" t="str">
        <x:v>08-27～08-28</x:v>
      </x:c>
      <x:c r="M25" s="13" t="str">
        <x:v>2026-08-20</x:v>
      </x:c>
      <x:c r="N25" s="13" t="str">
        <x:v>user_id(UUID)；删除申请ID；数据导出ID；邮箱仅作登录标识</x:v>
      </x:c>
      <x:c r="O25" s="13" t="str">
        <x:v>unverified/active/deletion_pending/deleted；导出queued/processing/ready/failed/expired</x:v>
      </x:c>
      <x:c r="P25" s="13" t="str">
        <x:v>重复注册、会话过期、未验证、活动任务阻止删除、导出过期</x:v>
      </x:c>
      <x:c r="Q25" s="13" t="str">
        <x:v>仅本人访问；高风险操作重新认证；Service Role仅后端</x:v>
      </x:c>
      <x:c r="R25" s="13" t="str">
        <x:v>账户初始化/赠点/删除/导出均幂等；删除宽限30天；导出24小时</x:v>
      </x:c>
    </x:row>
    <x:row r="26" ht="68" customHeight="1">
      <x:c r="A26" s="13" t="str">
        <x:v>第 1 期</x:v>
      </x:c>
      <x:c r="B26" s="13" t="str">
        <x:v>1. 用户、登录与账户</x:v>
      </x:c>
      <x:c r="C26" s="13" t="str">
        <x:v>AUTH-001</x:v>
      </x:c>
      <x:c r="D26" s="13" t="str">
        <x:v>邮箱注册</x:v>
      </x:c>
      <x:c r="E26" s="13" t="str">
        <x:v>FE-AUTH-REG-05</x:v>
      </x:c>
      <x:c r="F26" s="13" t="str">
        <x:v>前端</x:v>
      </x:c>
      <x:c r="G26" s="13" t="str">
        <x:v>实现注册成功提示</x:v>
      </x:c>
      <x:c r="H26" s="13" t="str">
        <x:v>验证邮件已发送状态</x:v>
      </x:c>
      <x:c r="I26" s="13" t="str">
        <x:v>隐藏密码并提供重发入口</x:v>
      </x:c>
      <x:c r="J26" s="13" t="str">
        <x:v>—</x:v>
      </x:c>
      <x:c r="K26" s="13" t="str">
        <x:v>待完成</x:v>
      </x:c>
      <x:c r="L26" s="13" t="str">
        <x:v>08-27～08-28</x:v>
      </x:c>
      <x:c r="M26" s="13" t="str">
        <x:v>—</x:v>
      </x:c>
      <x:c r="N26" s="13" t="str">
        <x:v>user_id(UUID)；删除申请ID；数据导出ID；邮箱仅作登录标识</x:v>
      </x:c>
      <x:c r="O26" s="13" t="str">
        <x:v>unverified/active/deletion_pending/deleted；导出queued/processing/ready/failed/expired</x:v>
      </x:c>
      <x:c r="P26" s="13" t="str">
        <x:v>重复注册、会话过期、未验证、活动任务阻止删除、导出过期</x:v>
      </x:c>
      <x:c r="Q26" s="13" t="str">
        <x:v>仅本人访问；高风险操作重新认证；Service Role仅后端</x:v>
      </x:c>
      <x:c r="R26" s="13" t="str">
        <x:v>账户初始化/赠点/删除/导出均幂等；删除宽限30天；导出24小时</x:v>
      </x:c>
    </x:row>
    <x:row r="27" ht="68" customHeight="1">
      <x:c r="A27" s="13" t="str">
        <x:v>第 1 期</x:v>
      </x:c>
      <x:c r="B27" s="13" t="str">
        <x:v>1. 用户、登录与账户</x:v>
      </x:c>
      <x:c r="C27" s="13" t="str">
        <x:v>AUTH-001</x:v>
      </x:c>
      <x:c r="D27" s="13" t="str">
        <x:v>邮箱注册</x:v>
      </x:c>
      <x:c r="E27" s="13" t="str">
        <x:v>FE-AUTH-REG-06</x:v>
      </x:c>
      <x:c r="F27" s="13" t="str">
        <x:v>前端</x:v>
      </x:c>
      <x:c r="G27" s="13" t="str">
        <x:v>接入注册页服务端接口</x:v>
      </x:c>
      <x:c r="H27" s="13" t="str">
        <x:v>POST /api/auth/sign-up 调用与安全 next 参数</x:v>
      </x:c>
      <x:c r="I27" s="13" t="str">
        <x:v>请求字段与服务端一致；访客注册后按验证状态进入下一步</x:v>
      </x:c>
      <x:c r="J27" s="13" t="str">
        <x:v>FE-AUTH-REG-02</x:v>
      </x:c>
      <x:c r="K27" s="13" t="str">
        <x:v>已完成</x:v>
      </x:c>
      <x:c r="L27" s="13" t="str">
        <x:v>08-27～08-28</x:v>
      </x:c>
      <x:c r="M27" s="13" t="str">
        <x:v>2026-08-21</x:v>
      </x:c>
      <x:c r="N27" s="13" t="str">
        <x:v>user_id(UUID)；删除申请ID；数据导出ID；邮箱仅作登录标识</x:v>
      </x:c>
      <x:c r="O27" s="13" t="str">
        <x:v>unverified/active/deletion_pending/deleted；导出queued/processing/ready/failed/expired</x:v>
      </x:c>
      <x:c r="P27" s="13" t="str">
        <x:v>重复注册、会话过期、未验证、活动任务阻止删除、导出过期</x:v>
      </x:c>
      <x:c r="Q27" s="13" t="str">
        <x:v>仅本人访问；高风险操作重新认证；Service Role仅后端</x:v>
      </x:c>
      <x:c r="R27" s="13" t="str">
        <x:v>账户初始化/赠点/删除/导出均幂等；删除宽限30天；导出24小时</x:v>
      </x:c>
    </x:row>
    <x:row r="28" ht="68" customHeight="1">
      <x:c r="A28" s="13" t="str">
        <x:v>第 1 期</x:v>
      </x:c>
      <x:c r="B28" s="13" t="str">
        <x:v>1. 用户、登录与账户</x:v>
      </x:c>
      <x:c r="C28" s="13" t="str">
        <x:v>AUTH-001</x:v>
      </x:c>
      <x:c r="D28" s="13" t="str">
        <x:v>邮箱注册</x:v>
      </x:c>
      <x:c r="E28" s="13" t="str">
        <x:v>FE-AUTH-REG-07</x:v>
      </x:c>
      <x:c r="F28" s="13" t="str">
        <x:v>前端</x:v>
      </x:c>
      <x:c r="G28" s="13" t="str">
        <x:v>实现注册页加载状态</x:v>
      </x:c>
      <x:c r="H28" s="13" t="str">
        <x:v>骨架屏或进度反馈</x:v>
      </x:c>
      <x:c r="I28" s="13" t="str">
        <x:v>请求期间有可感知反馈；重复操作被禁用</x:v>
      </x:c>
      <x:c r="J28" s="13" t="str">
        <x:v>FE-AUTH-REG-02</x:v>
      </x:c>
      <x:c r="K28" s="13" t="str">
        <x:v>已完成</x:v>
      </x:c>
      <x:c r="L28" s="13" t="str">
        <x:v>08-27～08-28</x:v>
      </x:c>
      <x:c r="M28" s="13" t="str">
        <x:v>2026-08-20</x:v>
      </x:c>
      <x:c r="N28" s="13" t="str">
        <x:v>user_id(UUID)；删除申请ID；数据导出ID；邮箱仅作登录标识</x:v>
      </x:c>
      <x:c r="O28" s="13" t="str">
        <x:v>unverified/active/deletion_pending/deleted；导出queued/processing/ready/failed/expired</x:v>
      </x:c>
      <x:c r="P28" s="13" t="str">
        <x:v>重复注册、会话过期、未验证、活动任务阻止删除、导出过期</x:v>
      </x:c>
      <x:c r="Q28" s="13" t="str">
        <x:v>仅本人访问；高风险操作重新认证；Service Role仅后端</x:v>
      </x:c>
      <x:c r="R28" s="13" t="str">
        <x:v>账户初始化/赠点/删除/导出均幂等；删除宽限30天；导出24小时</x:v>
      </x:c>
    </x:row>
    <x:row r="29" ht="68" customHeight="1">
      <x:c r="A29" s="13" t="str">
        <x:v>第 1 期</x:v>
      </x:c>
      <x:c r="B29" s="13" t="str">
        <x:v>1. 用户、登录与账户</x:v>
      </x:c>
      <x:c r="C29" s="13" t="str">
        <x:v>AUTH-001</x:v>
      </x:c>
      <x:c r="D29" s="13" t="str">
        <x:v>邮箱注册</x:v>
      </x:c>
      <x:c r="E29" s="13" t="str">
        <x:v>FE-AUTH-REG-08</x:v>
      </x:c>
      <x:c r="F29" s="13" t="str">
        <x:v>前端</x:v>
      </x:c>
      <x:c r="G29" s="13" t="str">
        <x:v>实现注册页错误映射</x:v>
      </x:c>
      <x:c r="H29" s="13" t="str">
        <x:v>稳定错误码到双语用户文案的映射</x:v>
      </x:c>
      <x:c r="I29" s="13" t="str">
        <x:v>业务错误可恢复；未知错误不泄露内部信息</x:v>
      </x:c>
      <x:c r="J29" s="13" t="str">
        <x:v>FE-AUTH-REG-02</x:v>
      </x:c>
      <x:c r="K29" s="13" t="str">
        <x:v>待完成</x:v>
      </x:c>
      <x:c r="L29" s="13" t="str">
        <x:v>08-27～08-28</x:v>
      </x:c>
      <x:c r="M29" s="13" t="str">
        <x:v>—</x:v>
      </x:c>
      <x:c r="N29" s="13" t="str">
        <x:v>user_id(UUID)；删除申请ID；数据导出ID；邮箱仅作登录标识</x:v>
      </x:c>
      <x:c r="O29" s="13" t="str">
        <x:v>unverified/active/deletion_pending/deleted；导出queued/processing/ready/failed/expired</x:v>
      </x:c>
      <x:c r="P29" s="13" t="str">
        <x:v>重复注册、会话过期、未验证、活动任务阻止删除、导出过期</x:v>
      </x:c>
      <x:c r="Q29" s="13" t="str">
        <x:v>仅本人访问；高风险操作重新认证；Service Role仅后端</x:v>
      </x:c>
      <x:c r="R29" s="13" t="str">
        <x:v>账户初始化/赠点/删除/导出均幂等；删除宽限30天；导出24小时</x:v>
      </x:c>
    </x:row>
    <x:row r="30" ht="68" customHeight="1">
      <x:c r="A30" s="13" t="str">
        <x:v>第 1 期</x:v>
      </x:c>
      <x:c r="B30" s="13" t="str">
        <x:v>1. 用户、登录与账户</x:v>
      </x:c>
      <x:c r="C30" s="13" t="str">
        <x:v>AUTH-001</x:v>
      </x:c>
      <x:c r="D30" s="13" t="str">
        <x:v>邮箱注册</x:v>
      </x:c>
      <x:c r="E30" s="13" t="str">
        <x:v>FE-AUTH-REG-09</x:v>
      </x:c>
      <x:c r="F30" s="13" t="str">
        <x:v>前端</x:v>
      </x:c>
      <x:c r="G30" s="13" t="str">
        <x:v>完成注册页中英文文案</x:v>
      </x:c>
      <x:c r="H30" s="13" t="str">
        <x:v>en/zh词条</x:v>
      </x:c>
      <x:c r="I30" s="13" t="str">
        <x:v>切换语言后字段含义、按钮和错误保持一致</x:v>
      </x:c>
      <x:c r="J30" s="13" t="str">
        <x:v>—</x:v>
      </x:c>
      <x:c r="K30" s="13" t="str">
        <x:v>已完成</x:v>
      </x:c>
      <x:c r="L30" s="13" t="str">
        <x:v>08-27～08-28</x:v>
      </x:c>
      <x:c r="M30" s="13" t="str">
        <x:v>2026-08-20</x:v>
      </x:c>
      <x:c r="N30" s="13" t="str">
        <x:v>user_id(UUID)；删除申请ID；数据导出ID；邮箱仅作登录标识</x:v>
      </x:c>
      <x:c r="O30" s="13" t="str">
        <x:v>unverified/active/deletion_pending/deleted；导出queued/processing/ready/failed/expired</x:v>
      </x:c>
      <x:c r="P30" s="13" t="str">
        <x:v>重复注册、会话过期、未验证、活动任务阻止删除、导出过期</x:v>
      </x:c>
      <x:c r="Q30" s="13" t="str">
        <x:v>仅本人访问；高风险操作重新认证；Service Role仅后端</x:v>
      </x:c>
      <x:c r="R30" s="13" t="str">
        <x:v>账户初始化/赠点/删除/导出均幂等；删除宽限30天；导出24小时</x:v>
      </x:c>
    </x:row>
    <x:row r="31" ht="68" customHeight="1">
      <x:c r="A31" s="13" t="str">
        <x:v>第 1 期</x:v>
      </x:c>
      <x:c r="B31" s="13" t="str">
        <x:v>1. 用户、登录与账户</x:v>
      </x:c>
      <x:c r="C31" s="13" t="str">
        <x:v>AUTH-001</x:v>
      </x:c>
      <x:c r="D31" s="13" t="str">
        <x:v>邮箱注册</x:v>
      </x:c>
      <x:c r="E31" s="13" t="str">
        <x:v>FE-AUTH-REG-10</x:v>
      </x:c>
      <x:c r="F31" s="13" t="str">
        <x:v>前端</x:v>
      </x:c>
      <x:c r="G31" s="13" t="str">
        <x:v>完成注册页键盘与屏幕阅读器支持</x:v>
      </x:c>
      <x:c r="H31" s="13" t="str">
        <x:v>语义标签、焦点顺序、aria-live</x:v>
      </x:c>
      <x:c r="I31" s="13" t="str">
        <x:v>仅键盘可完成主流程；错误与状态可被读出</x:v>
      </x:c>
      <x:c r="J31" s="13" t="str">
        <x:v>—</x:v>
      </x:c>
      <x:c r="K31" s="13" t="str">
        <x:v>已完成</x:v>
      </x:c>
      <x:c r="L31" s="13" t="str">
        <x:v>08-27～08-28</x:v>
      </x:c>
      <x:c r="M31" s="13" t="str">
        <x:v>2026-08-20</x:v>
      </x:c>
      <x:c r="N31" s="13" t="str">
        <x:v>user_id(UUID)；删除申请ID；数据导出ID；邮箱仅作登录标识</x:v>
      </x:c>
      <x:c r="O31" s="13" t="str">
        <x:v>unverified/active/deletion_pending/deleted；导出queued/processing/ready/failed/expired</x:v>
      </x:c>
      <x:c r="P31" s="13" t="str">
        <x:v>重复注册、会话过期、未验证、活动任务阻止删除、导出过期</x:v>
      </x:c>
      <x:c r="Q31" s="13" t="str">
        <x:v>仅本人访问；高风险操作重新认证；Service Role仅后端</x:v>
      </x:c>
      <x:c r="R31" s="13" t="str">
        <x:v>账户初始化/赠点/删除/导出均幂等；删除宽限30天；导出24小时</x:v>
      </x:c>
    </x:row>
    <x:row r="32" ht="68" customHeight="1">
      <x:c r="A32" s="13" t="str">
        <x:v>第 1 期</x:v>
      </x:c>
      <x:c r="B32" s="13" t="str">
        <x:v>1. 用户、登录与账户</x:v>
      </x:c>
      <x:c r="C32" s="13" t="str">
        <x:v>AUTH-001</x:v>
      </x:c>
      <x:c r="D32" s="13" t="str">
        <x:v>邮箱注册</x:v>
      </x:c>
      <x:c r="E32" s="13" t="str">
        <x:v>FE-AUTH-REG-11</x:v>
      </x:c>
      <x:c r="F32" s="13" t="str">
        <x:v>前端</x:v>
      </x:c>
      <x:c r="G32" s="13" t="str">
        <x:v>编写注册页组件测试</x:v>
      </x:c>
      <x:c r="H32" s="13" t="str">
        <x:v>组件与交互测试</x:v>
      </x:c>
      <x:c r="I32" s="13" t="str">
        <x:v>覆盖成功、校验失败、服务端失败和重复点击</x:v>
      </x:c>
      <x:c r="J32" s="13" t="str">
        <x:v>—</x:v>
      </x:c>
      <x:c r="K32" s="13" t="str">
        <x:v>待完成</x:v>
      </x:c>
      <x:c r="L32" s="13" t="str">
        <x:v>08-27～08-28</x:v>
      </x:c>
      <x:c r="M32" s="13" t="str">
        <x:v>—</x:v>
      </x:c>
      <x:c r="N32" s="13" t="str">
        <x:v>user_id(UUID)；删除申请ID；数据导出ID；邮箱仅作登录标识</x:v>
      </x:c>
      <x:c r="O32" s="13" t="str">
        <x:v>unverified/active/deletion_pending/deleted；导出queued/processing/ready/failed/expired</x:v>
      </x:c>
      <x:c r="P32" s="13" t="str">
        <x:v>重复注册、会话过期、未验证、活动任务阻止删除、导出过期</x:v>
      </x:c>
      <x:c r="Q32" s="13" t="str">
        <x:v>仅本人访问；高风险操作重新认证；Service Role仅后端</x:v>
      </x:c>
      <x:c r="R32" s="13" t="str">
        <x:v>账户初始化/赠点/删除/导出均幂等；删除宽限30天；导出24小时</x:v>
      </x:c>
    </x:row>
    <x:row r="33" ht="68" customHeight="1">
      <x:c r="A33" s="13" t="str">
        <x:v>第 1 期</x:v>
      </x:c>
      <x:c r="B33" s="13" t="str">
        <x:v>1. 用户、登录与账户</x:v>
      </x:c>
      <x:c r="C33" s="13" t="str">
        <x:v>AUTH-002</x:v>
      </x:c>
      <x:c r="D33" s="13" t="str">
        <x:v>邮箱验证</x:v>
      </x:c>
      <x:c r="E33" s="13" t="str">
        <x:v>FE-AUTH-VERIFY-01</x:v>
      </x:c>
      <x:c r="F33" s="13" t="str">
        <x:v>前端</x:v>
      </x:c>
      <x:c r="G33" s="13" t="str">
        <x:v>建立邮箱验证提示页路由与页面边界</x:v>
      </x:c>
      <x:c r="H33" s="13" t="str">
        <x:v>邮箱验证提示页路由、页面组件和Metadata</x:v>
      </x:c>
      <x:c r="I33" s="13" t="str">
        <x:v>直接访问路由可渲染；未授权跳转符合PRD；无运行时错误</x:v>
      </x:c>
      <x:c r="J33" s="13" t="str">
        <x:v>—</x:v>
      </x:c>
      <x:c r="K33" s="13" t="str">
        <x:v>已完成</x:v>
      </x:c>
      <x:c r="L33" s="13" t="str">
        <x:v>08-27～08-28</x:v>
      </x:c>
      <x:c r="M33" s="13" t="str">
        <x:v>2026-08-20</x:v>
      </x:c>
      <x:c r="N33" s="13" t="str">
        <x:v>user_id(UUID)；删除申请ID；数据导出ID；邮箱仅作登录标识</x:v>
      </x:c>
      <x:c r="O33" s="13" t="str">
        <x:v>unverified/active/deletion_pending/deleted；导出queued/processing/ready/failed/expired</x:v>
      </x:c>
      <x:c r="P33" s="13" t="str">
        <x:v>重复注册、会话过期、未验证、活动任务阻止删除、导出过期</x:v>
      </x:c>
      <x:c r="Q33" s="13" t="str">
        <x:v>仅本人访问；高风险操作重新认证；Service Role仅后端</x:v>
      </x:c>
      <x:c r="R33" s="13" t="str">
        <x:v>账户初始化/赠点/删除/导出均幂等；删除宽限30天；导出24小时</x:v>
      </x:c>
    </x:row>
    <x:row r="34" ht="68" customHeight="1">
      <x:c r="A34" s="13" t="str">
        <x:v>第 1 期</x:v>
      </x:c>
      <x:c r="B34" s="13" t="str">
        <x:v>1. 用户、登录与账户</x:v>
      </x:c>
      <x:c r="C34" s="13" t="str">
        <x:v>AUTH-002</x:v>
      </x:c>
      <x:c r="D34" s="13" t="str">
        <x:v>邮箱验证</x:v>
      </x:c>
      <x:c r="E34" s="13" t="str">
        <x:v>FE-AUTH-VERIFY-02</x:v>
      </x:c>
      <x:c r="F34" s="13" t="str">
        <x:v>前端</x:v>
      </x:c>
      <x:c r="G34" s="13" t="str">
        <x:v>定义邮箱验证提示页页面状态模型</x:v>
      </x:c>
      <x:c r="H34" s="13" t="str">
        <x:v>页面状态类型与初始化逻辑</x:v>
      </x:c>
      <x:c r="I34" s="13" t="str">
        <x:v>每个状态只有一个含义；刷新后可恢复服务端状态</x:v>
      </x:c>
      <x:c r="J34" s="13" t="str">
        <x:v>FE-AUTH-VERIFY-01</x:v>
      </x:c>
      <x:c r="K34" s="13" t="str">
        <x:v>已完成</x:v>
      </x:c>
      <x:c r="L34" s="13" t="str">
        <x:v>08-27～08-28</x:v>
      </x:c>
      <x:c r="M34" s="13" t="str">
        <x:v>2026-08-20</x:v>
      </x:c>
      <x:c r="N34" s="13" t="str">
        <x:v>user_id(UUID)；删除申请ID；数据导出ID；邮箱仅作登录标识</x:v>
      </x:c>
      <x:c r="O34" s="13" t="str">
        <x:v>unverified/active/deletion_pending/deleted；导出queued/processing/ready/failed/expired</x:v>
      </x:c>
      <x:c r="P34" s="13" t="str">
        <x:v>重复注册、会话过期、未验证、活动任务阻止删除、导出过期</x:v>
      </x:c>
      <x:c r="Q34" s="13" t="str">
        <x:v>仅本人访问；高风险操作重新认证；Service Role仅后端</x:v>
      </x:c>
      <x:c r="R34" s="13" t="str">
        <x:v>账户初始化/赠点/删除/导出均幂等；删除宽限30天；导出24小时</x:v>
      </x:c>
    </x:row>
    <x:row r="35" ht="68" customHeight="1">
      <x:c r="A35" s="13" t="str">
        <x:v>第 1 期</x:v>
      </x:c>
      <x:c r="B35" s="13" t="str">
        <x:v>1. 用户、登录与账户</x:v>
      </x:c>
      <x:c r="C35" s="13" t="str">
        <x:v>AUTH-002</x:v>
      </x:c>
      <x:c r="D35" s="13" t="str">
        <x:v>邮箱验证</x:v>
      </x:c>
      <x:c r="E35" s="13" t="str">
        <x:v>FE-AUTH-VERIFY-03</x:v>
      </x:c>
      <x:c r="F35" s="13" t="str">
        <x:v>前端</x:v>
      </x:c>
      <x:c r="G35" s="13" t="str">
        <x:v>解析验证回调结果</x:v>
      </x:c>
      <x:c r="H35" s="13" t="str">
        <x:v>成功/过期/无效状态</x:v>
      </x:c>
      <x:c r="I35" s="13" t="str">
        <x:v>每种回调结果有明确下一步</x:v>
      </x:c>
      <x:c r="J35" s="13" t="str">
        <x:v>—</x:v>
      </x:c>
      <x:c r="K35" s="13" t="str">
        <x:v>已完成</x:v>
      </x:c>
      <x:c r="L35" s="13" t="str">
        <x:v>08-27～08-28</x:v>
      </x:c>
      <x:c r="M35" s="13" t="str">
        <x:v>2026-08-20</x:v>
      </x:c>
      <x:c r="N35" s="13" t="str">
        <x:v>user_id(UUID)；删除申请ID；数据导出ID；邮箱仅作登录标识</x:v>
      </x:c>
      <x:c r="O35" s="13" t="str">
        <x:v>unverified/active/deletion_pending/deleted；导出queued/processing/ready/failed/expired</x:v>
      </x:c>
      <x:c r="P35" s="13" t="str">
        <x:v>重复注册、会话过期、未验证、活动任务阻止删除、导出过期</x:v>
      </x:c>
      <x:c r="Q35" s="13" t="str">
        <x:v>仅本人访问；高风险操作重新认证；Service Role仅后端</x:v>
      </x:c>
      <x:c r="R35" s="13" t="str">
        <x:v>账户初始化/赠点/删除/导出均幂等；删除宽限30天；导出24小时</x:v>
      </x:c>
    </x:row>
    <x:row r="36" ht="68" customHeight="1">
      <x:c r="A36" s="13" t="str">
        <x:v>第 1 期</x:v>
      </x:c>
      <x:c r="B36" s="13" t="str">
        <x:v>1. 用户、登录与账户</x:v>
      </x:c>
      <x:c r="C36" s="13" t="str">
        <x:v>AUTH-002</x:v>
      </x:c>
      <x:c r="D36" s="13" t="str">
        <x:v>邮箱验证</x:v>
      </x:c>
      <x:c r="E36" s="13" t="str">
        <x:v>FE-AUTH-VERIFY-04</x:v>
      </x:c>
      <x:c r="F36" s="13" t="str">
        <x:v>前端</x:v>
      </x:c>
      <x:c r="G36" s="13" t="str">
        <x:v>实现重发倒计时</x:v>
      </x:c>
      <x:c r="H36" s="13" t="str">
        <x:v>冷却计时器</x:v>
      </x:c>
      <x:c r="I36" s="13" t="str">
        <x:v>冷却期不可重复发送；刷新策略明确</x:v>
      </x:c>
      <x:c r="J36" s="13" t="str">
        <x:v>—</x:v>
      </x:c>
      <x:c r="K36" s="13" t="str">
        <x:v>待完成</x:v>
      </x:c>
      <x:c r="L36" s="13" t="str">
        <x:v>08-27～08-28</x:v>
      </x:c>
      <x:c r="M36" s="13" t="str">
        <x:v>—</x:v>
      </x:c>
      <x:c r="N36" s="13" t="str">
        <x:v>user_id(UUID)；删除申请ID；数据导出ID；邮箱仅作登录标识</x:v>
      </x:c>
      <x:c r="O36" s="13" t="str">
        <x:v>unverified/active/deletion_pending/deleted；导出queued/processing/ready/failed/expired</x:v>
      </x:c>
      <x:c r="P36" s="13" t="str">
        <x:v>重复注册、会话过期、未验证、活动任务阻止删除、导出过期</x:v>
      </x:c>
      <x:c r="Q36" s="13" t="str">
        <x:v>仅本人访问；高风险操作重新认证；Service Role仅后端</x:v>
      </x:c>
      <x:c r="R36" s="13" t="str">
        <x:v>账户初始化/赠点/删除/导出均幂等；删除宽限30天；导出24小时</x:v>
      </x:c>
    </x:row>
    <x:row r="37" ht="68" customHeight="1">
      <x:c r="A37" s="13" t="str">
        <x:v>第 1 期</x:v>
      </x:c>
      <x:c r="B37" s="13" t="str">
        <x:v>1. 用户、登录与账户</x:v>
      </x:c>
      <x:c r="C37" s="13" t="str">
        <x:v>AUTH-002</x:v>
      </x:c>
      <x:c r="D37" s="13" t="str">
        <x:v>邮箱验证</x:v>
      </x:c>
      <x:c r="E37" s="13" t="str">
        <x:v>FE-AUTH-VERIFY-05</x:v>
      </x:c>
      <x:c r="F37" s="13" t="str">
        <x:v>前端</x:v>
      </x:c>
      <x:c r="G37" s="13" t="str">
        <x:v>接入邮箱验证提示页服务端接口</x:v>
      </x:c>
      <x:c r="H37" s="13" t="str">
        <x:v>POST /api/auth/resend-verification客户端适配器</x:v>
      </x:c>
      <x:c r="I37" s="13" t="str">
        <x:v>请求字段与共享Schema一致；不在组件内拼装不受控请求</x:v>
      </x:c>
      <x:c r="J37" s="13" t="str">
        <x:v>FE-AUTH-VERIFY-02</x:v>
      </x:c>
      <x:c r="K37" s="13" t="str">
        <x:v>待完成</x:v>
      </x:c>
      <x:c r="L37" s="13" t="str">
        <x:v>08-27～08-28</x:v>
      </x:c>
      <x:c r="M37" s="13" t="str">
        <x:v>—</x:v>
      </x:c>
      <x:c r="N37" s="13" t="str">
        <x:v>user_id(UUID)；删除申请ID；数据导出ID；邮箱仅作登录标识</x:v>
      </x:c>
      <x:c r="O37" s="13" t="str">
        <x:v>unverified/active/deletion_pending/deleted；导出queued/processing/ready/failed/expired</x:v>
      </x:c>
      <x:c r="P37" s="13" t="str">
        <x:v>重复注册、会话过期、未验证、活动任务阻止删除、导出过期</x:v>
      </x:c>
      <x:c r="Q37" s="13" t="str">
        <x:v>仅本人访问；高风险操作重新认证；Service Role仅后端</x:v>
      </x:c>
      <x:c r="R37" s="13" t="str">
        <x:v>账户初始化/赠点/删除/导出均幂等；删除宽限30天；导出24小时</x:v>
      </x:c>
    </x:row>
    <x:row r="38" ht="68" customHeight="1">
      <x:c r="A38" s="13" t="str">
        <x:v>第 1 期</x:v>
      </x:c>
      <x:c r="B38" s="13" t="str">
        <x:v>1. 用户、登录与账户</x:v>
      </x:c>
      <x:c r="C38" s="13" t="str">
        <x:v>AUTH-002</x:v>
      </x:c>
      <x:c r="D38" s="13" t="str">
        <x:v>邮箱验证</x:v>
      </x:c>
      <x:c r="E38" s="13" t="str">
        <x:v>FE-AUTH-VERIFY-06</x:v>
      </x:c>
      <x:c r="F38" s="13" t="str">
        <x:v>前端</x:v>
      </x:c>
      <x:c r="G38" s="13" t="str">
        <x:v>实现邮箱验证提示页加载状态</x:v>
      </x:c>
      <x:c r="H38" s="13" t="str">
        <x:v>骨架屏或进度反馈</x:v>
      </x:c>
      <x:c r="I38" s="13" t="str">
        <x:v>请求期间有可感知反馈；重复操作被禁用</x:v>
      </x:c>
      <x:c r="J38" s="13" t="str">
        <x:v>FE-AUTH-VERIFY-02</x:v>
      </x:c>
      <x:c r="K38" s="13" t="str">
        <x:v>已完成</x:v>
      </x:c>
      <x:c r="L38" s="13" t="str">
        <x:v>08-27～08-28</x:v>
      </x:c>
      <x:c r="M38" s="13" t="str">
        <x:v>2026-08-20</x:v>
      </x:c>
      <x:c r="N38" s="13" t="str">
        <x:v>user_id(UUID)；删除申请ID；数据导出ID；邮箱仅作登录标识</x:v>
      </x:c>
      <x:c r="O38" s="13" t="str">
        <x:v>unverified/active/deletion_pending/deleted；导出queued/processing/ready/failed/expired</x:v>
      </x:c>
      <x:c r="P38" s="13" t="str">
        <x:v>重复注册、会话过期、未验证、活动任务阻止删除、导出过期</x:v>
      </x:c>
      <x:c r="Q38" s="13" t="str">
        <x:v>仅本人访问；高风险操作重新认证；Service Role仅后端</x:v>
      </x:c>
      <x:c r="R38" s="13" t="str">
        <x:v>账户初始化/赠点/删除/导出均幂等；删除宽限30天；导出24小时</x:v>
      </x:c>
    </x:row>
    <x:row r="39" ht="68" customHeight="1">
      <x:c r="A39" s="13" t="str">
        <x:v>第 1 期</x:v>
      </x:c>
      <x:c r="B39" s="13" t="str">
        <x:v>1. 用户、登录与账户</x:v>
      </x:c>
      <x:c r="C39" s="13" t="str">
        <x:v>AUTH-002</x:v>
      </x:c>
      <x:c r="D39" s="13" t="str">
        <x:v>邮箱验证</x:v>
      </x:c>
      <x:c r="E39" s="13" t="str">
        <x:v>FE-AUTH-VERIFY-07</x:v>
      </x:c>
      <x:c r="F39" s="13" t="str">
        <x:v>前端</x:v>
      </x:c>
      <x:c r="G39" s="13" t="str">
        <x:v>实现邮箱验证提示页错误映射</x:v>
      </x:c>
      <x:c r="H39" s="13" t="str">
        <x:v>稳定错误码到双语用户文案的映射</x:v>
      </x:c>
      <x:c r="I39" s="13" t="str">
        <x:v>业务错误可恢复；未知错误不泄露内部信息</x:v>
      </x:c>
      <x:c r="J39" s="13" t="str">
        <x:v>FE-AUTH-VERIFY-02</x:v>
      </x:c>
      <x:c r="K39" s="13" t="str">
        <x:v>待完成</x:v>
      </x:c>
      <x:c r="L39" s="13" t="str">
        <x:v>08-27～08-28</x:v>
      </x:c>
      <x:c r="M39" s="13" t="str">
        <x:v>—</x:v>
      </x:c>
      <x:c r="N39" s="13" t="str">
        <x:v>user_id(UUID)；删除申请ID；数据导出ID；邮箱仅作登录标识</x:v>
      </x:c>
      <x:c r="O39" s="13" t="str">
        <x:v>unverified/active/deletion_pending/deleted；导出queued/processing/ready/failed/expired</x:v>
      </x:c>
      <x:c r="P39" s="13" t="str">
        <x:v>重复注册、会话过期、未验证、活动任务阻止删除、导出过期</x:v>
      </x:c>
      <x:c r="Q39" s="13" t="str">
        <x:v>仅本人访问；高风险操作重新认证；Service Role仅后端</x:v>
      </x:c>
      <x:c r="R39" s="13" t="str">
        <x:v>账户初始化/赠点/删除/导出均幂等；删除宽限30天；导出24小时</x:v>
      </x:c>
    </x:row>
    <x:row r="40" ht="68" customHeight="1">
      <x:c r="A40" s="13" t="str">
        <x:v>第 1 期</x:v>
      </x:c>
      <x:c r="B40" s="13" t="str">
        <x:v>1. 用户、登录与账户</x:v>
      </x:c>
      <x:c r="C40" s="13" t="str">
        <x:v>AUTH-002</x:v>
      </x:c>
      <x:c r="D40" s="13" t="str">
        <x:v>邮箱验证</x:v>
      </x:c>
      <x:c r="E40" s="13" t="str">
        <x:v>FE-AUTH-VERIFY-08</x:v>
      </x:c>
      <x:c r="F40" s="13" t="str">
        <x:v>前端</x:v>
      </x:c>
      <x:c r="G40" s="13" t="str">
        <x:v>完成邮箱验证提示页中英文文案</x:v>
      </x:c>
      <x:c r="H40" s="13" t="str">
        <x:v>en/zh词条</x:v>
      </x:c>
      <x:c r="I40" s="13" t="str">
        <x:v>切换语言后字段含义、按钮和错误保持一致</x:v>
      </x:c>
      <x:c r="J40" s="13" t="str">
        <x:v>—</x:v>
      </x:c>
      <x:c r="K40" s="13" t="str">
        <x:v>已完成</x:v>
      </x:c>
      <x:c r="L40" s="13" t="str">
        <x:v>08-27～08-28</x:v>
      </x:c>
      <x:c r="M40" s="13" t="str">
        <x:v>2026-08-20</x:v>
      </x:c>
      <x:c r="N40" s="13" t="str">
        <x:v>user_id(UUID)；删除申请ID；数据导出ID；邮箱仅作登录标识</x:v>
      </x:c>
      <x:c r="O40" s="13" t="str">
        <x:v>unverified/active/deletion_pending/deleted；导出queued/processing/ready/failed/expired</x:v>
      </x:c>
      <x:c r="P40" s="13" t="str">
        <x:v>重复注册、会话过期、未验证、活动任务阻止删除、导出过期</x:v>
      </x:c>
      <x:c r="Q40" s="13" t="str">
        <x:v>仅本人访问；高风险操作重新认证；Service Role仅后端</x:v>
      </x:c>
      <x:c r="R40" s="13" t="str">
        <x:v>账户初始化/赠点/删除/导出均幂等；删除宽限30天；导出24小时</x:v>
      </x:c>
    </x:row>
    <x:row r="41" ht="68" customHeight="1">
      <x:c r="A41" s="13" t="str">
        <x:v>第 1 期</x:v>
      </x:c>
      <x:c r="B41" s="13" t="str">
        <x:v>1. 用户、登录与账户</x:v>
      </x:c>
      <x:c r="C41" s="13" t="str">
        <x:v>AUTH-002</x:v>
      </x:c>
      <x:c r="D41" s="13" t="str">
        <x:v>邮箱验证</x:v>
      </x:c>
      <x:c r="E41" s="13" t="str">
        <x:v>FE-AUTH-VERIFY-09</x:v>
      </x:c>
      <x:c r="F41" s="13" t="str">
        <x:v>前端</x:v>
      </x:c>
      <x:c r="G41" s="13" t="str">
        <x:v>完成邮箱验证提示页键盘与屏幕阅读器支持</x:v>
      </x:c>
      <x:c r="H41" s="13" t="str">
        <x:v>语义标签、焦点顺序、aria-live</x:v>
      </x:c>
      <x:c r="I41" s="13" t="str">
        <x:v>仅键盘可完成主流程；错误与状态可被读出</x:v>
      </x:c>
      <x:c r="J41" s="13" t="str">
        <x:v>—</x:v>
      </x:c>
      <x:c r="K41" s="13" t="str">
        <x:v>已完成</x:v>
      </x:c>
      <x:c r="L41" s="13" t="str">
        <x:v>08-27～08-28</x:v>
      </x:c>
      <x:c r="M41" s="13" t="str">
        <x:v>2026-08-20</x:v>
      </x:c>
      <x:c r="N41" s="13" t="str">
        <x:v>user_id(UUID)；删除申请ID；数据导出ID；邮箱仅作登录标识</x:v>
      </x:c>
      <x:c r="O41" s="13" t="str">
        <x:v>unverified/active/deletion_pending/deleted；导出queued/processing/ready/failed/expired</x:v>
      </x:c>
      <x:c r="P41" s="13" t="str">
        <x:v>重复注册、会话过期、未验证、活动任务阻止删除、导出过期</x:v>
      </x:c>
      <x:c r="Q41" s="13" t="str">
        <x:v>仅本人访问；高风险操作重新认证；Service Role仅后端</x:v>
      </x:c>
      <x:c r="R41" s="13" t="str">
        <x:v>账户初始化/赠点/删除/导出均幂等；删除宽限30天；导出24小时</x:v>
      </x:c>
    </x:row>
    <x:row r="42" ht="68" customHeight="1">
      <x:c r="A42" s="13" t="str">
        <x:v>第 1 期</x:v>
      </x:c>
      <x:c r="B42" s="13" t="str">
        <x:v>1. 用户、登录与账户</x:v>
      </x:c>
      <x:c r="C42" s="13" t="str">
        <x:v>AUTH-002</x:v>
      </x:c>
      <x:c r="D42" s="13" t="str">
        <x:v>邮箱验证</x:v>
      </x:c>
      <x:c r="E42" s="13" t="str">
        <x:v>FE-AUTH-VERIFY-10</x:v>
      </x:c>
      <x:c r="F42" s="13" t="str">
        <x:v>前端</x:v>
      </x:c>
      <x:c r="G42" s="13" t="str">
        <x:v>编写邮箱验证提示页组件测试</x:v>
      </x:c>
      <x:c r="H42" s="13" t="str">
        <x:v>组件与交互测试</x:v>
      </x:c>
      <x:c r="I42" s="13" t="str">
        <x:v>覆盖成功、校验失败、服务端失败和重复点击</x:v>
      </x:c>
      <x:c r="J42" s="13" t="str">
        <x:v>—</x:v>
      </x:c>
      <x:c r="K42" s="13" t="str">
        <x:v>待完成</x:v>
      </x:c>
      <x:c r="L42" s="13" t="str">
        <x:v>08-27～08-28</x:v>
      </x:c>
      <x:c r="M42" s="13" t="str">
        <x:v>—</x:v>
      </x:c>
      <x:c r="N42" s="13" t="str">
        <x:v>user_id(UUID)；删除申请ID；数据导出ID；邮箱仅作登录标识</x:v>
      </x:c>
      <x:c r="O42" s="13" t="str">
        <x:v>unverified/active/deletion_pending/deleted；导出queued/processing/ready/failed/expired</x:v>
      </x:c>
      <x:c r="P42" s="13" t="str">
        <x:v>重复注册、会话过期、未验证、活动任务阻止删除、导出过期</x:v>
      </x:c>
      <x:c r="Q42" s="13" t="str">
        <x:v>仅本人访问；高风险操作重新认证；Service Role仅后端</x:v>
      </x:c>
      <x:c r="R42" s="13" t="str">
        <x:v>账户初始化/赠点/删除/导出均幂等；删除宽限30天；导出24小时</x:v>
      </x:c>
    </x:row>
    <x:row r="43" ht="68" customHeight="1">
      <x:c r="A43" s="13" t="str">
        <x:v>第 1 期</x:v>
      </x:c>
      <x:c r="B43" s="13" t="str">
        <x:v>1. 用户、登录与账户</x:v>
      </x:c>
      <x:c r="C43" s="13" t="str">
        <x:v>AUTH-003</x:v>
      </x:c>
      <x:c r="D43" s="13" t="str">
        <x:v>邮箱密码登录</x:v>
      </x:c>
      <x:c r="E43" s="13" t="str">
        <x:v>FE-AUTH-SIGNIN-01</x:v>
      </x:c>
      <x:c r="F43" s="13" t="str">
        <x:v>前端</x:v>
      </x:c>
      <x:c r="G43" s="13" t="str">
        <x:v>建立登录页路由与页面边界</x:v>
      </x:c>
      <x:c r="H43" s="13" t="str">
        <x:v>登录页路由、页面组件和Metadata</x:v>
      </x:c>
      <x:c r="I43" s="13" t="str">
        <x:v>直接访问路由可渲染；未授权跳转符合PRD；无运行时错误</x:v>
      </x:c>
      <x:c r="J43" s="13" t="str">
        <x:v>—</x:v>
      </x:c>
      <x:c r="K43" s="13" t="str">
        <x:v>已完成</x:v>
      </x:c>
      <x:c r="L43" s="13" t="str">
        <x:v>08-20</x:v>
      </x:c>
      <x:c r="M43" s="13" t="str">
        <x:v>2026-08-20</x:v>
      </x:c>
      <x:c r="N43" s="13" t="str">
        <x:v>user_id(UUID)；删除申请ID；数据导出ID；邮箱仅作登录标识</x:v>
      </x:c>
      <x:c r="O43" s="13" t="str">
        <x:v>unverified/active/deletion_pending/deleted；导出queued/processing/ready/failed/expired</x:v>
      </x:c>
      <x:c r="P43" s="13" t="str">
        <x:v>重复注册、会话过期、未验证、活动任务阻止删除、导出过期</x:v>
      </x:c>
      <x:c r="Q43" s="13" t="str">
        <x:v>仅本人访问；高风险操作重新认证；Service Role仅后端</x:v>
      </x:c>
      <x:c r="R43" s="13" t="str">
        <x:v>账户初始化/赠点/删除/导出均幂等；删除宽限30天；导出24小时</x:v>
      </x:c>
    </x:row>
    <x:row r="44" ht="68" customHeight="1">
      <x:c r="A44" s="13" t="str">
        <x:v>第 1 期</x:v>
      </x:c>
      <x:c r="B44" s="13" t="str">
        <x:v>1. 用户、登录与账户</x:v>
      </x:c>
      <x:c r="C44" s="13" t="str">
        <x:v>AUTH-003</x:v>
      </x:c>
      <x:c r="D44" s="13" t="str">
        <x:v>邮箱密码登录</x:v>
      </x:c>
      <x:c r="E44" s="13" t="str">
        <x:v>FE-AUTH-SIGNIN-02</x:v>
      </x:c>
      <x:c r="F44" s="13" t="str">
        <x:v>前端</x:v>
      </x:c>
      <x:c r="G44" s="13" t="str">
        <x:v>定义登录页页面状态模型</x:v>
      </x:c>
      <x:c r="H44" s="13" t="str">
        <x:v>登录表单的空闲、提交中、失败与认证不可用状态</x:v>
      </x:c>
      <x:c r="I44" s="13" t="str">
        <x:v>状态明确且重复提交被禁用</x:v>
      </x:c>
      <x:c r="J44" s="13" t="str">
        <x:v>FE-AUTH-SIGNIN-01</x:v>
      </x:c>
      <x:c r="K44" s="13" t="str">
        <x:v>已完成</x:v>
      </x:c>
      <x:c r="L44" s="13" t="str">
        <x:v>08-20</x:v>
      </x:c>
      <x:c r="M44" s="13" t="str">
        <x:v>2026-08-21</x:v>
      </x:c>
      <x:c r="N44" s="13" t="str">
        <x:v>user_id(UUID)；删除申请ID；数据导出ID；邮箱仅作登录标识</x:v>
      </x:c>
      <x:c r="O44" s="13" t="str">
        <x:v>unverified/active/deletion_pending/deleted；导出queued/processing/ready/failed/expired</x:v>
      </x:c>
      <x:c r="P44" s="13" t="str">
        <x:v>重复注册、会话过期、未验证、活动任务阻止删除、导出过期</x:v>
      </x:c>
      <x:c r="Q44" s="13" t="str">
        <x:v>仅本人访问；高风险操作重新认证；Service Role仅后端</x:v>
      </x:c>
      <x:c r="R44" s="13" t="str">
        <x:v>账户初始化/赠点/删除/导出均幂等；删除宽限30天；导出24小时</x:v>
      </x:c>
    </x:row>
    <x:row r="45" ht="68" customHeight="1">
      <x:c r="A45" s="13" t="str">
        <x:v>第 1 期</x:v>
      </x:c>
      <x:c r="B45" s="13" t="str">
        <x:v>1. 用户、登录与账户</x:v>
      </x:c>
      <x:c r="C45" s="13" t="str">
        <x:v>AUTH-003</x:v>
      </x:c>
      <x:c r="D45" s="13" t="str">
        <x:v>邮箱密码登录</x:v>
      </x:c>
      <x:c r="E45" s="13" t="str">
        <x:v>FE-AUTH-SIGNIN-03</x:v>
      </x:c>
      <x:c r="F45" s="13" t="str">
        <x:v>前端</x:v>
      </x:c>
      <x:c r="G45" s="13" t="str">
        <x:v>实现邮箱密码字段</x:v>
      </x:c>
      <x:c r="H45" s="13" t="str">
        <x:v>邮箱输入、密码输入、自动填充和密码显隐按钮</x:v>
      </x:c>
      <x:c r="I45" s="13" t="str">
        <x:v>邮箱/密码可自动填充；显隐按钮可键盘操作</x:v>
      </x:c>
      <x:c r="J45" s="13" t="str">
        <x:v>—</x:v>
      </x:c>
      <x:c r="K45" s="13" t="str">
        <x:v>已完成</x:v>
      </x:c>
      <x:c r="L45" s="13" t="str">
        <x:v>08-20</x:v>
      </x:c>
      <x:c r="M45" s="13" t="str">
        <x:v>2026-08-21</x:v>
      </x:c>
      <x:c r="N45" s="13" t="str">
        <x:v>user_id(UUID)；删除申请ID；数据导出ID；邮箱仅作登录标识</x:v>
      </x:c>
      <x:c r="O45" s="13" t="str">
        <x:v>unverified/active/deletion_pending/deleted；导出queued/processing/ready/failed/expired</x:v>
      </x:c>
      <x:c r="P45" s="13" t="str">
        <x:v>重复注册、会话过期、未验证、活动任务阻止删除、导出过期</x:v>
      </x:c>
      <x:c r="Q45" s="13" t="str">
        <x:v>仅本人访问；高风险操作重新认证；Service Role仅后端</x:v>
      </x:c>
      <x:c r="R45" s="13" t="str">
        <x:v>账户初始化/赠点/删除/导出均幂等；删除宽限30天；导出24小时</x:v>
      </x:c>
    </x:row>
    <x:row r="46" ht="68" customHeight="1">
      <x:c r="A46" s="13" t="str">
        <x:v>第 1 期</x:v>
      </x:c>
      <x:c r="B46" s="13" t="str">
        <x:v>1. 用户、登录与账户</x:v>
      </x:c>
      <x:c r="C46" s="13" t="str">
        <x:v>AUTH-003</x:v>
      </x:c>
      <x:c r="D46" s="13" t="str">
        <x:v>邮箱密码登录</x:v>
      </x:c>
      <x:c r="E46" s="13" t="str">
        <x:v>FE-AUTH-SIGNIN-04</x:v>
      </x:c>
      <x:c r="F46" s="13" t="str">
        <x:v>前端</x:v>
      </x:c>
      <x:c r="G46" s="13" t="str">
        <x:v>实现安全next跳转</x:v>
      </x:c>
      <x:c r="H46" s="13" t="str">
        <x:v>仅允许站内相对路径</x:v>
      </x:c>
      <x:c r="I46" s="13" t="str">
        <x:v>外部或协议相对URL被拒绝</x:v>
      </x:c>
      <x:c r="J46" s="13" t="str">
        <x:v>—</x:v>
      </x:c>
      <x:c r="K46" s="13" t="str">
        <x:v>已完成</x:v>
      </x:c>
      <x:c r="L46" s="13" t="str">
        <x:v>08-20</x:v>
      </x:c>
      <x:c r="M46" s="13" t="str">
        <x:v>2026-08-20</x:v>
      </x:c>
      <x:c r="N46" s="13" t="str">
        <x:v>user_id(UUID)；删除申请ID；数据导出ID；邮箱仅作登录标识</x:v>
      </x:c>
      <x:c r="O46" s="13" t="str">
        <x:v>unverified/active/deletion_pending/deleted；导出queued/processing/ready/failed/expired</x:v>
      </x:c>
      <x:c r="P46" s="13" t="str">
        <x:v>重复注册、会话过期、未验证、活动任务阻止删除、导出过期</x:v>
      </x:c>
      <x:c r="Q46" s="13" t="str">
        <x:v>仅本人访问；高风险操作重新认证；Service Role仅后端</x:v>
      </x:c>
      <x:c r="R46" s="13" t="str">
        <x:v>账户初始化/赠点/删除/导出均幂等；删除宽限30天；导出24小时</x:v>
      </x:c>
    </x:row>
    <x:row r="47" ht="68" customHeight="1">
      <x:c r="A47" s="13" t="str">
        <x:v>第 1 期</x:v>
      </x:c>
      <x:c r="B47" s="13" t="str">
        <x:v>1. 用户、登录与账户</x:v>
      </x:c>
      <x:c r="C47" s="13" t="str">
        <x:v>AUTH-003</x:v>
      </x:c>
      <x:c r="D47" s="13" t="str">
        <x:v>邮箱密码登录</x:v>
      </x:c>
      <x:c r="E47" s="13" t="str">
        <x:v>FE-AUTH-SIGNIN-05</x:v>
      </x:c>
      <x:c r="F47" s="13" t="str">
        <x:v>前端</x:v>
      </x:c>
      <x:c r="G47" s="13" t="str">
        <x:v>接入登录页服务端接口</x:v>
      </x:c>
      <x:c r="H47" s="13" t="str">
        <x:v>POST /api/auth/sign-in 调用与安全 next 回跳</x:v>
      </x:c>
      <x:c r="I47" s="13" t="str">
        <x:v>登录成功保留服务端会话并返回原站内目标页面</x:v>
      </x:c>
      <x:c r="J47" s="13" t="str">
        <x:v>FE-AUTH-SIGNIN-02</x:v>
      </x:c>
      <x:c r="K47" s="13" t="str">
        <x:v>已完成</x:v>
      </x:c>
      <x:c r="L47" s="13" t="str">
        <x:v>08-20</x:v>
      </x:c>
      <x:c r="M47" s="13" t="str">
        <x:v>2026-08-21</x:v>
      </x:c>
      <x:c r="N47" s="13" t="str">
        <x:v>user_id(UUID)；删除申请ID；数据导出ID；邮箱仅作登录标识</x:v>
      </x:c>
      <x:c r="O47" s="13" t="str">
        <x:v>unverified/active/deletion_pending/deleted；导出queued/processing/ready/failed/expired</x:v>
      </x:c>
      <x:c r="P47" s="13" t="str">
        <x:v>重复注册、会话过期、未验证、活动任务阻止删除、导出过期</x:v>
      </x:c>
      <x:c r="Q47" s="13" t="str">
        <x:v>仅本人访问；高风险操作重新认证；Service Role仅后端</x:v>
      </x:c>
      <x:c r="R47" s="13" t="str">
        <x:v>账户初始化/赠点/删除/导出均幂等；删除宽限30天；导出24小时</x:v>
      </x:c>
    </x:row>
    <x:row r="48" ht="68" customHeight="1">
      <x:c r="A48" s="13" t="str">
        <x:v>第 1 期</x:v>
      </x:c>
      <x:c r="B48" s="13" t="str">
        <x:v>1. 用户、登录与账户</x:v>
      </x:c>
      <x:c r="C48" s="13" t="str">
        <x:v>AUTH-003</x:v>
      </x:c>
      <x:c r="D48" s="13" t="str">
        <x:v>邮箱密码登录</x:v>
      </x:c>
      <x:c r="E48" s="13" t="str">
        <x:v>FE-AUTH-SIGNIN-06</x:v>
      </x:c>
      <x:c r="F48" s="13" t="str">
        <x:v>前端</x:v>
      </x:c>
      <x:c r="G48" s="13" t="str">
        <x:v>实现登录页加载状态</x:v>
      </x:c>
      <x:c r="H48" s="13" t="str">
        <x:v>骨架屏或进度反馈</x:v>
      </x:c>
      <x:c r="I48" s="13" t="str">
        <x:v>请求期间有可感知反馈；重复操作被禁用</x:v>
      </x:c>
      <x:c r="J48" s="13" t="str">
        <x:v>FE-AUTH-SIGNIN-02</x:v>
      </x:c>
      <x:c r="K48" s="13" t="str">
        <x:v>已完成</x:v>
      </x:c>
      <x:c r="L48" s="13" t="str">
        <x:v>08-20</x:v>
      </x:c>
      <x:c r="M48" s="13" t="str">
        <x:v>2026-08-20</x:v>
      </x:c>
      <x:c r="N48" s="13" t="str">
        <x:v>user_id(UUID)；删除申请ID；数据导出ID；邮箱仅作登录标识</x:v>
      </x:c>
      <x:c r="O48" s="13" t="str">
        <x:v>unverified/active/deletion_pending/deleted；导出queued/processing/ready/failed/expired</x:v>
      </x:c>
      <x:c r="P48" s="13" t="str">
        <x:v>重复注册、会话过期、未验证、活动任务阻止删除、导出过期</x:v>
      </x:c>
      <x:c r="Q48" s="13" t="str">
        <x:v>仅本人访问；高风险操作重新认证；Service Role仅后端</x:v>
      </x:c>
      <x:c r="R48" s="13" t="str">
        <x:v>账户初始化/赠点/删除/导出均幂等；删除宽限30天；导出24小时</x:v>
      </x:c>
    </x:row>
    <x:row r="49" ht="68" customHeight="1">
      <x:c r="A49" s="13" t="str">
        <x:v>第 1 期</x:v>
      </x:c>
      <x:c r="B49" s="13" t="str">
        <x:v>1. 用户、登录与账户</x:v>
      </x:c>
      <x:c r="C49" s="13" t="str">
        <x:v>AUTH-003</x:v>
      </x:c>
      <x:c r="D49" s="13" t="str">
        <x:v>邮箱密码登录</x:v>
      </x:c>
      <x:c r="E49" s="13" t="str">
        <x:v>FE-AUTH-SIGNIN-07</x:v>
      </x:c>
      <x:c r="F49" s="13" t="str">
        <x:v>前端</x:v>
      </x:c>
      <x:c r="G49" s="13" t="str">
        <x:v>实现登录页错误映射</x:v>
      </x:c>
      <x:c r="H49" s="13" t="str">
        <x:v>稳定错误码到双语用户文案的映射</x:v>
      </x:c>
      <x:c r="I49" s="13" t="str">
        <x:v>业务错误可恢复；未知错误不泄露内部信息</x:v>
      </x:c>
      <x:c r="J49" s="13" t="str">
        <x:v>FE-AUTH-SIGNIN-02</x:v>
      </x:c>
      <x:c r="K49" s="13" t="str">
        <x:v>待完成</x:v>
      </x:c>
      <x:c r="L49" s="13" t="str">
        <x:v>08-20</x:v>
      </x:c>
      <x:c r="M49" s="13" t="str">
        <x:v>—</x:v>
      </x:c>
      <x:c r="N49" s="13" t="str">
        <x:v>user_id(UUID)；删除申请ID；数据导出ID；邮箱仅作登录标识</x:v>
      </x:c>
      <x:c r="O49" s="13" t="str">
        <x:v>unverified/active/deletion_pending/deleted；导出queued/processing/ready/failed/expired</x:v>
      </x:c>
      <x:c r="P49" s="13" t="str">
        <x:v>重复注册、会话过期、未验证、活动任务阻止删除、导出过期</x:v>
      </x:c>
      <x:c r="Q49" s="13" t="str">
        <x:v>仅本人访问；高风险操作重新认证；Service Role仅后端</x:v>
      </x:c>
      <x:c r="R49" s="13" t="str">
        <x:v>账户初始化/赠点/删除/导出均幂等；删除宽限30天；导出24小时</x:v>
      </x:c>
    </x:row>
    <x:row r="50" ht="68" customHeight="1">
      <x:c r="A50" s="13" t="str">
        <x:v>第 1 期</x:v>
      </x:c>
      <x:c r="B50" s="13" t="str">
        <x:v>1. 用户、登录与账户</x:v>
      </x:c>
      <x:c r="C50" s="13" t="str">
        <x:v>AUTH-003</x:v>
      </x:c>
      <x:c r="D50" s="13" t="str">
        <x:v>邮箱密码登录</x:v>
      </x:c>
      <x:c r="E50" s="13" t="str">
        <x:v>FE-AUTH-SIGNIN-08</x:v>
      </x:c>
      <x:c r="F50" s="13" t="str">
        <x:v>前端</x:v>
      </x:c>
      <x:c r="G50" s="13" t="str">
        <x:v>完成登录页中英文文案</x:v>
      </x:c>
      <x:c r="H50" s="13" t="str">
        <x:v>登录页品牌主副标题、表单和提示语 en/zh 词条</x:v>
      </x:c>
      <x:c r="I50" s="13" t="str">
        <x:v>中文提示统一为“登录后，开始创作你的图标吧。”且英文语义一致</x:v>
      </x:c>
      <x:c r="J50" s="13" t="str">
        <x:v>—</x:v>
      </x:c>
      <x:c r="K50" s="13" t="str">
        <x:v>已完成</x:v>
      </x:c>
      <x:c r="L50" s="13" t="str">
        <x:v>08-20</x:v>
      </x:c>
      <x:c r="M50" s="13" t="str">
        <x:v>2026-08-20</x:v>
      </x:c>
      <x:c r="N50" s="13" t="str">
        <x:v>user_id(UUID)；删除申请ID；数据导出ID；邮箱仅作登录标识</x:v>
      </x:c>
      <x:c r="O50" s="13" t="str">
        <x:v>unverified/active/deletion_pending/deleted；导出queued/processing/ready/failed/expired</x:v>
      </x:c>
      <x:c r="P50" s="13" t="str">
        <x:v>重复注册、会话过期、未验证、活动任务阻止删除、导出过期</x:v>
      </x:c>
      <x:c r="Q50" s="13" t="str">
        <x:v>仅本人访问；高风险操作重新认证；Service Role仅后端</x:v>
      </x:c>
      <x:c r="R50" s="13" t="str">
        <x:v>账户初始化/赠点/删除/导出均幂等；删除宽限30天；导出24小时</x:v>
      </x:c>
    </x:row>
    <x:row r="51" ht="68" customHeight="1">
      <x:c r="A51" s="13" t="str">
        <x:v>第 1 期</x:v>
      </x:c>
      <x:c r="B51" s="13" t="str">
        <x:v>1. 用户、登录与账户</x:v>
      </x:c>
      <x:c r="C51" s="13" t="str">
        <x:v>AUTH-003</x:v>
      </x:c>
      <x:c r="D51" s="13" t="str">
        <x:v>邮箱密码登录</x:v>
      </x:c>
      <x:c r="E51" s="13" t="str">
        <x:v>FE-AUTH-SIGNIN-09</x:v>
      </x:c>
      <x:c r="F51" s="13" t="str">
        <x:v>前端</x:v>
      </x:c>
      <x:c r="G51" s="13" t="str">
        <x:v>完成登录页键盘与屏幕阅读器支持</x:v>
      </x:c>
      <x:c r="H51" s="13" t="str">
        <x:v>语义标签、焦点顺序、aria-live</x:v>
      </x:c>
      <x:c r="I51" s="13" t="str">
        <x:v>仅键盘可完成主流程；错误与状态可被读出</x:v>
      </x:c>
      <x:c r="J51" s="13" t="str">
        <x:v>—</x:v>
      </x:c>
      <x:c r="K51" s="13" t="str">
        <x:v>待完成</x:v>
      </x:c>
      <x:c r="L51" s="13" t="str">
        <x:v>08-20</x:v>
      </x:c>
      <x:c r="M51" s="13" t="str">
        <x:v>—</x:v>
      </x:c>
      <x:c r="N51" s="13" t="str">
        <x:v>user_id(UUID)；删除申请ID；数据导出ID；邮箱仅作登录标识</x:v>
      </x:c>
      <x:c r="O51" s="13" t="str">
        <x:v>unverified/active/deletion_pending/deleted；导出queued/processing/ready/failed/expired</x:v>
      </x:c>
      <x:c r="P51" s="13" t="str">
        <x:v>重复注册、会话过期、未验证、活动任务阻止删除、导出过期</x:v>
      </x:c>
      <x:c r="Q51" s="13" t="str">
        <x:v>仅本人访问；高风险操作重新认证；Service Role仅后端</x:v>
      </x:c>
      <x:c r="R51" s="13" t="str">
        <x:v>账户初始化/赠点/删除/导出均幂等；删除宽限30天；导出24小时</x:v>
      </x:c>
    </x:row>
    <x:row r="52" ht="68" customHeight="1">
      <x:c r="A52" s="13" t="str">
        <x:v>第 1 期</x:v>
      </x:c>
      <x:c r="B52" s="13" t="str">
        <x:v>1. 用户、登录与账户</x:v>
      </x:c>
      <x:c r="C52" s="13" t="str">
        <x:v>AUTH-003</x:v>
      </x:c>
      <x:c r="D52" s="13" t="str">
        <x:v>邮箱密码登录</x:v>
      </x:c>
      <x:c r="E52" s="13" t="str">
        <x:v>FE-AUTH-SIGNIN-10</x:v>
      </x:c>
      <x:c r="F52" s="13" t="str">
        <x:v>前端</x:v>
      </x:c>
      <x:c r="G52" s="13" t="str">
        <x:v>编写登录页组件测试</x:v>
      </x:c>
      <x:c r="H52" s="13" t="str">
        <x:v>组件与交互测试</x:v>
      </x:c>
      <x:c r="I52" s="13" t="str">
        <x:v>覆盖成功、校验失败、服务端失败和重复点击</x:v>
      </x:c>
      <x:c r="J52" s="13" t="str">
        <x:v>—</x:v>
      </x:c>
      <x:c r="K52" s="13" t="str">
        <x:v>待完成</x:v>
      </x:c>
      <x:c r="L52" s="13" t="str">
        <x:v>08-20</x:v>
      </x:c>
      <x:c r="M52" s="13" t="str">
        <x:v>—</x:v>
      </x:c>
      <x:c r="N52" s="13" t="str">
        <x:v>user_id(UUID)；删除申请ID；数据导出ID；邮箱仅作登录标识</x:v>
      </x:c>
      <x:c r="O52" s="13" t="str">
        <x:v>unverified/active/deletion_pending/deleted；导出queued/processing/ready/failed/expired</x:v>
      </x:c>
      <x:c r="P52" s="13" t="str">
        <x:v>重复注册、会话过期、未验证、活动任务阻止删除、导出过期</x:v>
      </x:c>
      <x:c r="Q52" s="13" t="str">
        <x:v>仅本人访问；高风险操作重新认证；Service Role仅后端</x:v>
      </x:c>
      <x:c r="R52" s="13" t="str">
        <x:v>账户初始化/赠点/删除/导出均幂等；删除宽限30天；导出24小时</x:v>
      </x:c>
    </x:row>
    <x:row r="53" ht="68" customHeight="1">
      <x:c r="A53" s="13" t="str">
        <x:v>第 1 期</x:v>
      </x:c>
      <x:c r="B53" s="13" t="str">
        <x:v>1. 用户、登录与账户</x:v>
      </x:c>
      <x:c r="C53" s="13" t="str">
        <x:v>AUTH-007</x:v>
      </x:c>
      <x:c r="D53" s="13" t="str">
        <x:v>忘记与重置密码</x:v>
      </x:c>
      <x:c r="E53" s="13" t="str">
        <x:v>FE-AUTH-PASSWORD-01</x:v>
      </x:c>
      <x:c r="F53" s="13" t="str">
        <x:v>前端</x:v>
      </x:c>
      <x:c r="G53" s="13" t="str">
        <x:v>建立忘记和重置密码页路由与页面边界</x:v>
      </x:c>
      <x:c r="H53" s="13" t="str">
        <x:v>忘记和重置密码页路由、页面组件和Metadata</x:v>
      </x:c>
      <x:c r="I53" s="13" t="str">
        <x:v>直接访问路由可渲染；未授权跳转符合PRD；无运行时错误</x:v>
      </x:c>
      <x:c r="J53" s="13" t="str">
        <x:v>—</x:v>
      </x:c>
      <x:c r="K53" s="13" t="str">
        <x:v>已完成</x:v>
      </x:c>
      <x:c r="L53" s="13" t="str">
        <x:v>08-27～08-28</x:v>
      </x:c>
      <x:c r="M53" s="13" t="str">
        <x:v>2026-08-20</x:v>
      </x:c>
      <x:c r="N53" s="13" t="str">
        <x:v>user_id(UUID)；删除申请ID；数据导出ID；邮箱仅作登录标识</x:v>
      </x:c>
      <x:c r="O53" s="13" t="str">
        <x:v>unverified/active/deletion_pending/deleted；导出queued/processing/ready/failed/expired</x:v>
      </x:c>
      <x:c r="P53" s="13" t="str">
        <x:v>重复注册、会话过期、未验证、活动任务阻止删除、导出过期</x:v>
      </x:c>
      <x:c r="Q53" s="13" t="str">
        <x:v>仅本人访问；高风险操作重新认证；Service Role仅后端</x:v>
      </x:c>
      <x:c r="R53" s="13" t="str">
        <x:v>账户初始化/赠点/删除/导出均幂等；删除宽限30天；导出24小时</x:v>
      </x:c>
    </x:row>
    <x:row r="54" ht="68" customHeight="1">
      <x:c r="A54" s="13" t="str">
        <x:v>第 1 期</x:v>
      </x:c>
      <x:c r="B54" s="13" t="str">
        <x:v>1. 用户、登录与账户</x:v>
      </x:c>
      <x:c r="C54" s="13" t="str">
        <x:v>AUTH-007</x:v>
      </x:c>
      <x:c r="D54" s="13" t="str">
        <x:v>忘记与重置密码</x:v>
      </x:c>
      <x:c r="E54" s="13" t="str">
        <x:v>FE-AUTH-PASSWORD-02</x:v>
      </x:c>
      <x:c r="F54" s="13" t="str">
        <x:v>前端</x:v>
      </x:c>
      <x:c r="G54" s="13" t="str">
        <x:v>定义忘记和重置密码页页面状态模型</x:v>
      </x:c>
      <x:c r="H54" s="13" t="str">
        <x:v>页面状态类型与初始化逻辑</x:v>
      </x:c>
      <x:c r="I54" s="13" t="str">
        <x:v>每个状态只有一个含义；刷新后可恢复服务端状态</x:v>
      </x:c>
      <x:c r="J54" s="13" t="str">
        <x:v>FE-AUTH-PASSWORD-01</x:v>
      </x:c>
      <x:c r="K54" s="13" t="str">
        <x:v>待完成</x:v>
      </x:c>
      <x:c r="L54" s="13" t="str">
        <x:v>08-27～08-28</x:v>
      </x:c>
      <x:c r="M54" s="13" t="str">
        <x:v>—</x:v>
      </x:c>
      <x:c r="N54" s="13" t="str">
        <x:v>user_id(UUID)；删除申请ID；数据导出ID；邮箱仅作登录标识</x:v>
      </x:c>
      <x:c r="O54" s="13" t="str">
        <x:v>unverified/active/deletion_pending/deleted；导出queued/processing/ready/failed/expired</x:v>
      </x:c>
      <x:c r="P54" s="13" t="str">
        <x:v>重复注册、会话过期、未验证、活动任务阻止删除、导出过期</x:v>
      </x:c>
      <x:c r="Q54" s="13" t="str">
        <x:v>仅本人访问；高风险操作重新认证；Service Role仅后端</x:v>
      </x:c>
      <x:c r="R54" s="13" t="str">
        <x:v>账户初始化/赠点/删除/导出均幂等；删除宽限30天；导出24小时</x:v>
      </x:c>
    </x:row>
    <x:row r="55" ht="68" customHeight="1">
      <x:c r="A55" s="13" t="str">
        <x:v>第 1 期</x:v>
      </x:c>
      <x:c r="B55" s="13" t="str">
        <x:v>1. 用户、登录与账户</x:v>
      </x:c>
      <x:c r="C55" s="13" t="str">
        <x:v>AUTH-007</x:v>
      </x:c>
      <x:c r="D55" s="13" t="str">
        <x:v>忘记与重置密码</x:v>
      </x:c>
      <x:c r="E55" s="13" t="str">
        <x:v>FE-AUTH-PASSWORD-03</x:v>
      </x:c>
      <x:c r="F55" s="13" t="str">
        <x:v>前端</x:v>
      </x:c>
      <x:c r="G55" s="13" t="str">
        <x:v>实现忘记密码提交</x:v>
      </x:c>
      <x:c r="H55" s="13" t="str">
        <x:v>邮箱输入和成功提示</x:v>
      </x:c>
      <x:c r="I55" s="13" t="str">
        <x:v>无论邮箱存在与否避免账户枚举</x:v>
      </x:c>
      <x:c r="J55" s="13" t="str">
        <x:v>—</x:v>
      </x:c>
      <x:c r="K55" s="13" t="str">
        <x:v>已完成</x:v>
      </x:c>
      <x:c r="L55" s="13" t="str">
        <x:v>08-27～08-28</x:v>
      </x:c>
      <x:c r="M55" s="13" t="str">
        <x:v>2026-08-20</x:v>
      </x:c>
      <x:c r="N55" s="13" t="str">
        <x:v>user_id(UUID)；删除申请ID；数据导出ID；邮箱仅作登录标识</x:v>
      </x:c>
      <x:c r="O55" s="13" t="str">
        <x:v>unverified/active/deletion_pending/deleted；导出queued/processing/ready/failed/expired</x:v>
      </x:c>
      <x:c r="P55" s="13" t="str">
        <x:v>重复注册、会话过期、未验证、活动任务阻止删除、导出过期</x:v>
      </x:c>
      <x:c r="Q55" s="13" t="str">
        <x:v>仅本人访问；高风险操作重新认证；Service Role仅后端</x:v>
      </x:c>
      <x:c r="R55" s="13" t="str">
        <x:v>账户初始化/赠点/删除/导出均幂等；删除宽限30天；导出24小时</x:v>
      </x:c>
    </x:row>
    <x:row r="56" ht="68" customHeight="1">
      <x:c r="A56" s="13" t="str">
        <x:v>第 1 期</x:v>
      </x:c>
      <x:c r="B56" s="13" t="str">
        <x:v>1. 用户、登录与账户</x:v>
      </x:c>
      <x:c r="C56" s="13" t="str">
        <x:v>AUTH-007</x:v>
      </x:c>
      <x:c r="D56" s="13" t="str">
        <x:v>忘记与重置密码</x:v>
      </x:c>
      <x:c r="E56" s="13" t="str">
        <x:v>FE-AUTH-PASSWORD-04</x:v>
      </x:c>
      <x:c r="F56" s="13" t="str">
        <x:v>前端</x:v>
      </x:c>
      <x:c r="G56" s="13" t="str">
        <x:v>实现重置令牌校验</x:v>
      </x:c>
      <x:c r="H56" s="13" t="str">
        <x:v>有效/过期/无效令牌状态</x:v>
      </x:c>
      <x:c r="I56" s="13" t="str">
        <x:v>无效令牌不能提交新密码</x:v>
      </x:c>
      <x:c r="J56" s="13" t="str">
        <x:v>—</x:v>
      </x:c>
      <x:c r="K56" s="13" t="str">
        <x:v>待完成</x:v>
      </x:c>
      <x:c r="L56" s="13" t="str">
        <x:v>08-27～08-28</x:v>
      </x:c>
      <x:c r="M56" s="13" t="str">
        <x:v>—</x:v>
      </x:c>
      <x:c r="N56" s="13" t="str">
        <x:v>user_id(UUID)；删除申请ID；数据导出ID；邮箱仅作登录标识</x:v>
      </x:c>
      <x:c r="O56" s="13" t="str">
        <x:v>unverified/active/deletion_pending/deleted；导出queued/processing/ready/failed/expired</x:v>
      </x:c>
      <x:c r="P56" s="13" t="str">
        <x:v>重复注册、会话过期、未验证、活动任务阻止删除、导出过期</x:v>
      </x:c>
      <x:c r="Q56" s="13" t="str">
        <x:v>仅本人访问；高风险操作重新认证；Service Role仅后端</x:v>
      </x:c>
      <x:c r="R56" s="13" t="str">
        <x:v>账户初始化/赠点/删除/导出均幂等；删除宽限30天；导出24小时</x:v>
      </x:c>
    </x:row>
    <x:row r="57" ht="68" customHeight="1">
      <x:c r="A57" s="13" t="str">
        <x:v>第 1 期</x:v>
      </x:c>
      <x:c r="B57" s="13" t="str">
        <x:v>1. 用户、登录与账户</x:v>
      </x:c>
      <x:c r="C57" s="13" t="str">
        <x:v>AUTH-007</x:v>
      </x:c>
      <x:c r="D57" s="13" t="str">
        <x:v>忘记与重置密码</x:v>
      </x:c>
      <x:c r="E57" s="13" t="str">
        <x:v>FE-AUTH-PASSWORD-05</x:v>
      </x:c>
      <x:c r="F57" s="13" t="str">
        <x:v>前端</x:v>
      </x:c>
      <x:c r="G57" s="13" t="str">
        <x:v>实现新密码确认</x:v>
      </x:c>
      <x:c r="H57" s="13" t="str">
        <x:v>密码规则和二次确认</x:v>
      </x:c>
      <x:c r="I57" s="13" t="str">
        <x:v>成功后引导重新登录</x:v>
      </x:c>
      <x:c r="J57" s="13" t="str">
        <x:v>—</x:v>
      </x:c>
      <x:c r="K57" s="13" t="str">
        <x:v>待完成</x:v>
      </x:c>
      <x:c r="L57" s="13" t="str">
        <x:v>08-27～08-28</x:v>
      </x:c>
      <x:c r="M57" s="13" t="str">
        <x:v>—</x:v>
      </x:c>
      <x:c r="N57" s="13" t="str">
        <x:v>user_id(UUID)；删除申请ID；数据导出ID；邮箱仅作登录标识</x:v>
      </x:c>
      <x:c r="O57" s="13" t="str">
        <x:v>unverified/active/deletion_pending/deleted；导出queued/processing/ready/failed/expired</x:v>
      </x:c>
      <x:c r="P57" s="13" t="str">
        <x:v>重复注册、会话过期、未验证、活动任务阻止删除、导出过期</x:v>
      </x:c>
      <x:c r="Q57" s="13" t="str">
        <x:v>仅本人访问；高风险操作重新认证；Service Role仅后端</x:v>
      </x:c>
      <x:c r="R57" s="13" t="str">
        <x:v>账户初始化/赠点/删除/导出均幂等；删除宽限30天；导出24小时</x:v>
      </x:c>
    </x:row>
    <x:row r="58" ht="68" customHeight="1">
      <x:c r="A58" s="13" t="str">
        <x:v>第 1 期</x:v>
      </x:c>
      <x:c r="B58" s="13" t="str">
        <x:v>1. 用户、登录与账户</x:v>
      </x:c>
      <x:c r="C58" s="13" t="str">
        <x:v>AUTH-007</x:v>
      </x:c>
      <x:c r="D58" s="13" t="str">
        <x:v>忘记与重置密码</x:v>
      </x:c>
      <x:c r="E58" s="13" t="str">
        <x:v>FE-AUTH-PASSWORD-06</x:v>
      </x:c>
      <x:c r="F58" s="13" t="str">
        <x:v>前端</x:v>
      </x:c>
      <x:c r="G58" s="13" t="str">
        <x:v>接入忘记和重置密码页服务端接口</x:v>
      </x:c>
      <x:c r="H58" s="13" t="str">
        <x:v>forgot-password/reset-password客户端适配器</x:v>
      </x:c>
      <x:c r="I58" s="13" t="str">
        <x:v>请求字段与共享Schema一致；不在组件内拼装不受控请求</x:v>
      </x:c>
      <x:c r="J58" s="13" t="str">
        <x:v>FE-AUTH-PASSWORD-02</x:v>
      </x:c>
      <x:c r="K58" s="13" t="str">
        <x:v>待完成</x:v>
      </x:c>
      <x:c r="L58" s="13" t="str">
        <x:v>08-27～08-28</x:v>
      </x:c>
      <x:c r="M58" s="13" t="str">
        <x:v>—</x:v>
      </x:c>
      <x:c r="N58" s="13" t="str">
        <x:v>user_id(UUID)；删除申请ID；数据导出ID；邮箱仅作登录标识</x:v>
      </x:c>
      <x:c r="O58" s="13" t="str">
        <x:v>unverified/active/deletion_pending/deleted；导出queued/processing/ready/failed/expired</x:v>
      </x:c>
      <x:c r="P58" s="13" t="str">
        <x:v>重复注册、会话过期、未验证、活动任务阻止删除、导出过期</x:v>
      </x:c>
      <x:c r="Q58" s="13" t="str">
        <x:v>仅本人访问；高风险操作重新认证；Service Role仅后端</x:v>
      </x:c>
      <x:c r="R58" s="13" t="str">
        <x:v>账户初始化/赠点/删除/导出均幂等；删除宽限30天；导出24小时</x:v>
      </x:c>
    </x:row>
    <x:row r="59" ht="68" customHeight="1">
      <x:c r="A59" s="13" t="str">
        <x:v>第 1 期</x:v>
      </x:c>
      <x:c r="B59" s="13" t="str">
        <x:v>1. 用户、登录与账户</x:v>
      </x:c>
      <x:c r="C59" s="13" t="str">
        <x:v>AUTH-007</x:v>
      </x:c>
      <x:c r="D59" s="13" t="str">
        <x:v>忘记与重置密码</x:v>
      </x:c>
      <x:c r="E59" s="13" t="str">
        <x:v>FE-AUTH-PASSWORD-07</x:v>
      </x:c>
      <x:c r="F59" s="13" t="str">
        <x:v>前端</x:v>
      </x:c>
      <x:c r="G59" s="13" t="str">
        <x:v>实现忘记和重置密码页加载状态</x:v>
      </x:c>
      <x:c r="H59" s="13" t="str">
        <x:v>骨架屏或进度反馈</x:v>
      </x:c>
      <x:c r="I59" s="13" t="str">
        <x:v>请求期间有可感知反馈；重复操作被禁用</x:v>
      </x:c>
      <x:c r="J59" s="13" t="str">
        <x:v>FE-AUTH-PASSWORD-02</x:v>
      </x:c>
      <x:c r="K59" s="13" t="str">
        <x:v>待完成</x:v>
      </x:c>
      <x:c r="L59" s="13" t="str">
        <x:v>08-27～08-28</x:v>
      </x:c>
      <x:c r="M59" s="13" t="str">
        <x:v>—</x:v>
      </x:c>
      <x:c r="N59" s="13" t="str">
        <x:v>user_id(UUID)；删除申请ID；数据导出ID；邮箱仅作登录标识</x:v>
      </x:c>
      <x:c r="O59" s="13" t="str">
        <x:v>unverified/active/deletion_pending/deleted；导出queued/processing/ready/failed/expired</x:v>
      </x:c>
      <x:c r="P59" s="13" t="str">
        <x:v>重复注册、会话过期、未验证、活动任务阻止删除、导出过期</x:v>
      </x:c>
      <x:c r="Q59" s="13" t="str">
        <x:v>仅本人访问；高风险操作重新认证；Service Role仅后端</x:v>
      </x:c>
      <x:c r="R59" s="13" t="str">
        <x:v>账户初始化/赠点/删除/导出均幂等；删除宽限30天；导出24小时</x:v>
      </x:c>
    </x:row>
    <x:row r="60" ht="68" customHeight="1">
      <x:c r="A60" s="13" t="str">
        <x:v>第 1 期</x:v>
      </x:c>
      <x:c r="B60" s="13" t="str">
        <x:v>1. 用户、登录与账户</x:v>
      </x:c>
      <x:c r="C60" s="13" t="str">
        <x:v>AUTH-007</x:v>
      </x:c>
      <x:c r="D60" s="13" t="str">
        <x:v>忘记与重置密码</x:v>
      </x:c>
      <x:c r="E60" s="13" t="str">
        <x:v>FE-AUTH-PASSWORD-08</x:v>
      </x:c>
      <x:c r="F60" s="13" t="str">
        <x:v>前端</x:v>
      </x:c>
      <x:c r="G60" s="13" t="str">
        <x:v>实现忘记和重置密码页错误映射</x:v>
      </x:c>
      <x:c r="H60" s="13" t="str">
        <x:v>稳定错误码到双语用户文案的映射</x:v>
      </x:c>
      <x:c r="I60" s="13" t="str">
        <x:v>业务错误可恢复；未知错误不泄露内部信息</x:v>
      </x:c>
      <x:c r="J60" s="13" t="str">
        <x:v>FE-AUTH-PASSWORD-02</x:v>
      </x:c>
      <x:c r="K60" s="13" t="str">
        <x:v>待完成</x:v>
      </x:c>
      <x:c r="L60" s="13" t="str">
        <x:v>08-27～08-28</x:v>
      </x:c>
      <x:c r="M60" s="13" t="str">
        <x:v>—</x:v>
      </x:c>
      <x:c r="N60" s="13" t="str">
        <x:v>user_id(UUID)；删除申请ID；数据导出ID；邮箱仅作登录标识</x:v>
      </x:c>
      <x:c r="O60" s="13" t="str">
        <x:v>unverified/active/deletion_pending/deleted；导出queued/processing/ready/failed/expired</x:v>
      </x:c>
      <x:c r="P60" s="13" t="str">
        <x:v>重复注册、会话过期、未验证、活动任务阻止删除、导出过期</x:v>
      </x:c>
      <x:c r="Q60" s="13" t="str">
        <x:v>仅本人访问；高风险操作重新认证；Service Role仅后端</x:v>
      </x:c>
      <x:c r="R60" s="13" t="str">
        <x:v>账户初始化/赠点/删除/导出均幂等；删除宽限30天；导出24小时</x:v>
      </x:c>
    </x:row>
    <x:row r="61" ht="68" customHeight="1">
      <x:c r="A61" s="13" t="str">
        <x:v>第 1 期</x:v>
      </x:c>
      <x:c r="B61" s="13" t="str">
        <x:v>1. 用户、登录与账户</x:v>
      </x:c>
      <x:c r="C61" s="13" t="str">
        <x:v>AUTH-007</x:v>
      </x:c>
      <x:c r="D61" s="13" t="str">
        <x:v>忘记与重置密码</x:v>
      </x:c>
      <x:c r="E61" s="13" t="str">
        <x:v>FE-AUTH-PASSWORD-09</x:v>
      </x:c>
      <x:c r="F61" s="13" t="str">
        <x:v>前端</x:v>
      </x:c>
      <x:c r="G61" s="13" t="str">
        <x:v>完成忘记和重置密码页中英文文案</x:v>
      </x:c>
      <x:c r="H61" s="13" t="str">
        <x:v>en/zh词条</x:v>
      </x:c>
      <x:c r="I61" s="13" t="str">
        <x:v>切换语言后字段含义、按钮和错误保持一致</x:v>
      </x:c>
      <x:c r="J61" s="13" t="str">
        <x:v>—</x:v>
      </x:c>
      <x:c r="K61" s="13" t="str">
        <x:v>已完成</x:v>
      </x:c>
      <x:c r="L61" s="13" t="str">
        <x:v>08-27～08-28</x:v>
      </x:c>
      <x:c r="M61" s="13" t="str">
        <x:v>2026-08-20</x:v>
      </x:c>
      <x:c r="N61" s="13" t="str">
        <x:v>user_id(UUID)；删除申请ID；数据导出ID；邮箱仅作登录标识</x:v>
      </x:c>
      <x:c r="O61" s="13" t="str">
        <x:v>unverified/active/deletion_pending/deleted；导出queued/processing/ready/failed/expired</x:v>
      </x:c>
      <x:c r="P61" s="13" t="str">
        <x:v>重复注册、会话过期、未验证、活动任务阻止删除、导出过期</x:v>
      </x:c>
      <x:c r="Q61" s="13" t="str">
        <x:v>仅本人访问；高风险操作重新认证；Service Role仅后端</x:v>
      </x:c>
      <x:c r="R61" s="13" t="str">
        <x:v>账户初始化/赠点/删除/导出均幂等；删除宽限30天；导出24小时</x:v>
      </x:c>
    </x:row>
    <x:row r="62" ht="68" customHeight="1">
      <x:c r="A62" s="13" t="str">
        <x:v>第 1 期</x:v>
      </x:c>
      <x:c r="B62" s="13" t="str">
        <x:v>1. 用户、登录与账户</x:v>
      </x:c>
      <x:c r="C62" s="13" t="str">
        <x:v>AUTH-007</x:v>
      </x:c>
      <x:c r="D62" s="13" t="str">
        <x:v>忘记与重置密码</x:v>
      </x:c>
      <x:c r="E62" s="13" t="str">
        <x:v>FE-AUTH-PASSWORD-10</x:v>
      </x:c>
      <x:c r="F62" s="13" t="str">
        <x:v>前端</x:v>
      </x:c>
      <x:c r="G62" s="13" t="str">
        <x:v>完成忘记和重置密码页键盘与屏幕阅读器支持</x:v>
      </x:c>
      <x:c r="H62" s="13" t="str">
        <x:v>语义标签、焦点顺序、aria-live</x:v>
      </x:c>
      <x:c r="I62" s="13" t="str">
        <x:v>仅键盘可完成主流程；错误与状态可被读出</x:v>
      </x:c>
      <x:c r="J62" s="13" t="str">
        <x:v>—</x:v>
      </x:c>
      <x:c r="K62" s="13" t="str">
        <x:v>待完成</x:v>
      </x:c>
      <x:c r="L62" s="13" t="str">
        <x:v>08-27～08-28</x:v>
      </x:c>
      <x:c r="M62" s="13" t="str">
        <x:v>—</x:v>
      </x:c>
      <x:c r="N62" s="13" t="str">
        <x:v>user_id(UUID)；删除申请ID；数据导出ID；邮箱仅作登录标识</x:v>
      </x:c>
      <x:c r="O62" s="13" t="str">
        <x:v>unverified/active/deletion_pending/deleted；导出queued/processing/ready/failed/expired</x:v>
      </x:c>
      <x:c r="P62" s="13" t="str">
        <x:v>重复注册、会话过期、未验证、活动任务阻止删除、导出过期</x:v>
      </x:c>
      <x:c r="Q62" s="13" t="str">
        <x:v>仅本人访问；高风险操作重新认证；Service Role仅后端</x:v>
      </x:c>
      <x:c r="R62" s="13" t="str">
        <x:v>账户初始化/赠点/删除/导出均幂等；删除宽限30天；导出24小时</x:v>
      </x:c>
    </x:row>
    <x:row r="63" ht="68" customHeight="1">
      <x:c r="A63" s="13" t="str">
        <x:v>第 1 期</x:v>
      </x:c>
      <x:c r="B63" s="13" t="str">
        <x:v>1. 用户、登录与账户</x:v>
      </x:c>
      <x:c r="C63" s="13" t="str">
        <x:v>AUTH-007</x:v>
      </x:c>
      <x:c r="D63" s="13" t="str">
        <x:v>忘记与重置密码</x:v>
      </x:c>
      <x:c r="E63" s="13" t="str">
        <x:v>FE-AUTH-PASSWORD-11</x:v>
      </x:c>
      <x:c r="F63" s="13" t="str">
        <x:v>前端</x:v>
      </x:c>
      <x:c r="G63" s="13" t="str">
        <x:v>编写忘记和重置密码页组件测试</x:v>
      </x:c>
      <x:c r="H63" s="13" t="str">
        <x:v>组件与交互测试</x:v>
      </x:c>
      <x:c r="I63" s="13" t="str">
        <x:v>覆盖成功、校验失败、服务端失败和重复点击</x:v>
      </x:c>
      <x:c r="J63" s="13" t="str">
        <x:v>—</x:v>
      </x:c>
      <x:c r="K63" s="13" t="str">
        <x:v>待完成</x:v>
      </x:c>
      <x:c r="L63" s="13" t="str">
        <x:v>08-27～08-28</x:v>
      </x:c>
      <x:c r="M63" s="13" t="str">
        <x:v>—</x:v>
      </x:c>
      <x:c r="N63" s="13" t="str">
        <x:v>user_id(UUID)；删除申请ID；数据导出ID；邮箱仅作登录标识</x:v>
      </x:c>
      <x:c r="O63" s="13" t="str">
        <x:v>unverified/active/deletion_pending/deleted；导出queued/processing/ready/failed/expired</x:v>
      </x:c>
      <x:c r="P63" s="13" t="str">
        <x:v>重复注册、会话过期、未验证、活动任务阻止删除、导出过期</x:v>
      </x:c>
      <x:c r="Q63" s="13" t="str">
        <x:v>仅本人访问；高风险操作重新认证；Service Role仅后端</x:v>
      </x:c>
      <x:c r="R63" s="13" t="str">
        <x:v>账户初始化/赠点/删除/导出均幂等；删除宽限30天；导出24小时</x:v>
      </x:c>
    </x:row>
    <x:row r="64" ht="68" customHeight="1">
      <x:c r="A64" s="13" t="str">
        <x:v>第 1 期</x:v>
      </x:c>
      <x:c r="B64" s="13" t="str">
        <x:v>1. 用户、登录与账户</x:v>
      </x:c>
      <x:c r="C64" s="13" t="str">
        <x:v>USER-001/002/003</x:v>
      </x:c>
      <x:c r="D64" s="13" t="str">
        <x:v>账户摘要与昵称</x:v>
      </x:c>
      <x:c r="E64" s="13" t="str">
        <x:v>FE-ACCOUNT-01</x:v>
      </x:c>
      <x:c r="F64" s="13" t="str">
        <x:v>前端</x:v>
      </x:c>
      <x:c r="G64" s="13" t="str">
        <x:v>建立账户页路由与页面边界</x:v>
      </x:c>
      <x:c r="H64" s="13" t="str">
        <x:v>账户页路由、页面组件和Metadata</x:v>
      </x:c>
      <x:c r="I64" s="13" t="str">
        <x:v>直接访问路由可渲染；未授权跳转符合PRD；无运行时错误</x:v>
      </x:c>
      <x:c r="J64" s="13" t="str">
        <x:v>—</x:v>
      </x:c>
      <x:c r="K64" s="13" t="str">
        <x:v>已完成</x:v>
      </x:c>
      <x:c r="L64" s="13" t="str">
        <x:v>08-20</x:v>
      </x:c>
      <x:c r="M64" s="13" t="str">
        <x:v>2026-08-20</x:v>
      </x:c>
      <x:c r="N64" s="13" t="str">
        <x:v>user_id(UUID)；删除申请ID；数据导出ID；邮箱仅作登录标识</x:v>
      </x:c>
      <x:c r="O64" s="13" t="str">
        <x:v>unverified/active/deletion_pending/deleted；导出queued/processing/ready/failed/expired</x:v>
      </x:c>
      <x:c r="P64" s="13" t="str">
        <x:v>重复注册、会话过期、未验证、活动任务阻止删除、导出过期</x:v>
      </x:c>
      <x:c r="Q64" s="13" t="str">
        <x:v>仅本人访问；高风险操作重新认证；Service Role仅后端</x:v>
      </x:c>
      <x:c r="R64" s="13" t="str">
        <x:v>账户初始化/赠点/删除/导出均幂等；删除宽限30天；导出24小时</x:v>
      </x:c>
    </x:row>
    <x:row r="65" ht="68" customHeight="1">
      <x:c r="A65" s="13" t="str">
        <x:v>第 1 期</x:v>
      </x:c>
      <x:c r="B65" s="13" t="str">
        <x:v>1. 用户、登录与账户</x:v>
      </x:c>
      <x:c r="C65" s="13" t="str">
        <x:v>USER-001/002/003</x:v>
      </x:c>
      <x:c r="D65" s="13" t="str">
        <x:v>账户摘要与昵称</x:v>
      </x:c>
      <x:c r="E65" s="13" t="str">
        <x:v>FE-ACCOUNT-02</x:v>
      </x:c>
      <x:c r="F65" s="13" t="str">
        <x:v>前端</x:v>
      </x:c>
      <x:c r="G65" s="13" t="str">
        <x:v>定义账户页页面状态模型</x:v>
      </x:c>
      <x:c r="H65" s="13" t="str">
        <x:v>个人信息页加载、成功、保存中、保存成功和失败状态</x:v>
      </x:c>
      <x:c r="I65" s="13" t="str">
        <x:v>真实账户数据加载；保存期间禁用重复提交；失败不丢失输入</x:v>
      </x:c>
      <x:c r="J65" s="13" t="str">
        <x:v>FE-ACCOUNT-01</x:v>
      </x:c>
      <x:c r="K65" s="13" t="str">
        <x:v>已完成</x:v>
      </x:c>
      <x:c r="L65" s="13" t="str">
        <x:v>08-20</x:v>
      </x:c>
      <x:c r="M65" s="13" t="str">
        <x:v>2026-08-21</x:v>
      </x:c>
      <x:c r="N65" s="13" t="str">
        <x:v>user_id(UUID)；删除申请ID；数据导出ID；邮箱仅作登录标识</x:v>
      </x:c>
      <x:c r="O65" s="13" t="str">
        <x:v>unverified/active/deletion_pending/deleted；导出queued/processing/ready/failed/expired</x:v>
      </x:c>
      <x:c r="P65" s="13" t="str">
        <x:v>重复注册、会话过期、未验证、活动任务阻止删除、导出过期</x:v>
      </x:c>
      <x:c r="Q65" s="13" t="str">
        <x:v>仅本人访问；高风险操作重新认证；Service Role仅后端</x:v>
      </x:c>
      <x:c r="R65" s="13" t="str">
        <x:v>账户初始化/赠点/删除/导出均幂等；删除宽限30天；导出24小时</x:v>
      </x:c>
    </x:row>
    <x:row r="66" ht="68" customHeight="1">
      <x:c r="A66" s="13" t="str">
        <x:v>第 1 期</x:v>
      </x:c>
      <x:c r="B66" s="13" t="str">
        <x:v>1. 用户、登录与账户</x:v>
      </x:c>
      <x:c r="C66" s="13" t="str">
        <x:v>USER-001/002/003</x:v>
      </x:c>
      <x:c r="D66" s="13" t="str">
        <x:v>账户摘要与昵称</x:v>
      </x:c>
      <x:c r="E66" s="13" t="str">
        <x:v>FE-ACCOUNT-03</x:v>
      </x:c>
      <x:c r="F66" s="13" t="str">
        <x:v>前端</x:v>
      </x:c>
      <x:c r="G66" s="13" t="str">
        <x:v>展示账户摘要</x:v>
      </x:c>
      <x:c r="H66" s="13" t="str">
        <x:v>邮箱、邮箱验证状态和显示名称</x:v>
      </x:c>
      <x:c r="I66" s="13" t="str">
        <x:v>字段与当前用户一致；不展示加入时间或“账户正常”文案</x:v>
      </x:c>
      <x:c r="J66" s="13" t="str">
        <x:v>—</x:v>
      </x:c>
      <x:c r="K66" s="13" t="str">
        <x:v>已完成</x:v>
      </x:c>
      <x:c r="L66" s="13" t="str">
        <x:v>08-20</x:v>
      </x:c>
      <x:c r="M66" s="13" t="str">
        <x:v>2026-08-20</x:v>
      </x:c>
      <x:c r="N66" s="13" t="str">
        <x:v>user_id(UUID)；删除申请ID；数据导出ID；邮箱仅作登录标识</x:v>
      </x:c>
      <x:c r="O66" s="13" t="str">
        <x:v>unverified/active/deletion_pending/deleted；导出queued/processing/ready/failed/expired</x:v>
      </x:c>
      <x:c r="P66" s="13" t="str">
        <x:v>重复注册、会话过期、未验证、活动任务阻止删除、导出过期</x:v>
      </x:c>
      <x:c r="Q66" s="13" t="str">
        <x:v>仅本人访问；高风险操作重新认证；Service Role仅后端</x:v>
      </x:c>
      <x:c r="R66" s="13" t="str">
        <x:v>账户初始化/赠点/删除/导出均幂等；删除宽限30天；导出24小时</x:v>
      </x:c>
    </x:row>
    <x:row r="67" ht="68" customHeight="1">
      <x:c r="A67" s="13" t="str">
        <x:v>第 1 期</x:v>
      </x:c>
      <x:c r="B67" s="13" t="str">
        <x:v>1. 用户、登录与账户</x:v>
      </x:c>
      <x:c r="C67" s="13" t="str">
        <x:v>USER-001/002/003</x:v>
      </x:c>
      <x:c r="D67" s="13" t="str">
        <x:v>账户摘要与昵称</x:v>
      </x:c>
      <x:c r="E67" s="13" t="str">
        <x:v>FE-ACCOUNT-04</x:v>
      </x:c>
      <x:c r="F67" s="13" t="str">
        <x:v>前端</x:v>
      </x:c>
      <x:c r="G67" s="13" t="str">
        <x:v>展示点数余额</x:v>
      </x:c>
      <x:c r="H67" s="13" t="str">
        <x:v>点数余额卡片与充值入口</x:v>
      </x:c>
      <x:c r="I67" s="13" t="str">
        <x:v>余额来自服务端；充值跳转 /pricing；卡片与个人信息区域对齐</x:v>
      </x:c>
      <x:c r="J67" s="13" t="str">
        <x:v>—</x:v>
      </x:c>
      <x:c r="K67" s="13" t="str">
        <x:v>已完成</x:v>
      </x:c>
      <x:c r="L67" s="13" t="str">
        <x:v>08-20</x:v>
      </x:c>
      <x:c r="M67" s="13" t="str">
        <x:v>2026-08-21</x:v>
      </x:c>
      <x:c r="N67" s="13" t="str">
        <x:v>user_id(UUID)；删除申请ID；数据导出ID；邮箱仅作登录标识</x:v>
      </x:c>
      <x:c r="O67" s="13" t="str">
        <x:v>unverified/active/deletion_pending/deleted；导出queued/processing/ready/failed/expired</x:v>
      </x:c>
      <x:c r="P67" s="13" t="str">
        <x:v>重复注册、会话过期、未验证、活动任务阻止删除、导出过期</x:v>
      </x:c>
      <x:c r="Q67" s="13" t="str">
        <x:v>仅本人访问；高风险操作重新认证；Service Role仅后端</x:v>
      </x:c>
      <x:c r="R67" s="13" t="str">
        <x:v>账户初始化/赠点/删除/导出均幂等；删除宽限30天；导出24小时</x:v>
      </x:c>
    </x:row>
    <x:row r="68" ht="68" customHeight="1">
      <x:c r="A68" s="13" t="str">
        <x:v>第 1 期</x:v>
      </x:c>
      <x:c r="B68" s="13" t="str">
        <x:v>1. 用户、登录与账户</x:v>
      </x:c>
      <x:c r="C68" s="13" t="str">
        <x:v>USER-001/002/003</x:v>
      </x:c>
      <x:c r="D68" s="13" t="str">
        <x:v>账户摘要与昵称</x:v>
      </x:c>
      <x:c r="E68" s="13" t="str">
        <x:v>FE-ACCOUNT-05</x:v>
      </x:c>
      <x:c r="F68" s="13" t="str">
        <x:v>前端</x:v>
      </x:c>
      <x:c r="G68" s="13" t="str">
        <x:v>实现显示名称编辑与保存</x:v>
      </x:c>
      <x:c r="H68" s="13" t="str">
        <x:v>保存反馈与顶部导航用户名同步</x:v>
      </x:c>
      <x:c r="I68" s="13" t="str">
        <x:v>保存成功后个人信息页和顶部用户名立即一致</x:v>
      </x:c>
      <x:c r="J68" s="13" t="str">
        <x:v>—</x:v>
      </x:c>
      <x:c r="K68" s="13" t="str">
        <x:v>已完成</x:v>
      </x:c>
      <x:c r="L68" s="13" t="str">
        <x:v>08-20</x:v>
      </x:c>
      <x:c r="M68" s="13" t="str">
        <x:v>2026-08-21</x:v>
      </x:c>
      <x:c r="N68" s="13" t="str">
        <x:v>user_id(UUID)；删除申请ID；数据导出ID；邮箱仅作登录标识</x:v>
      </x:c>
      <x:c r="O68" s="13" t="str">
        <x:v>unverified/active/deletion_pending/deleted；导出queued/processing/ready/failed/expired</x:v>
      </x:c>
      <x:c r="P68" s="13" t="str">
        <x:v>重复注册、会话过期、未验证、活动任务阻止删除、导出过期</x:v>
      </x:c>
      <x:c r="Q68" s="13" t="str">
        <x:v>仅本人访问；高风险操作重新认证；Service Role仅后端</x:v>
      </x:c>
      <x:c r="R68" s="13" t="str">
        <x:v>账户初始化/赠点/删除/导出均幂等；删除宽限30天；导出24小时</x:v>
      </x:c>
    </x:row>
    <x:row r="69" ht="68" customHeight="1">
      <x:c r="A69" s="13" t="str">
        <x:v>第 1 期</x:v>
      </x:c>
      <x:c r="B69" s="13" t="str">
        <x:v>1. 用户、登录与账户</x:v>
      </x:c>
      <x:c r="C69" s="13" t="str">
        <x:v>USER-001/002/003</x:v>
      </x:c>
      <x:c r="D69" s="13" t="str">
        <x:v>账户摘要与昵称</x:v>
      </x:c>
      <x:c r="E69" s="13" t="str">
        <x:v>FE-ACCOUNT-06</x:v>
      </x:c>
      <x:c r="F69" s="13" t="str">
        <x:v>前端</x:v>
      </x:c>
      <x:c r="G69" s="13" t="str">
        <x:v>接入账户页服务端接口</x:v>
      </x:c>
      <x:c r="H69" s="13" t="str">
        <x:v>GET /api/account 与 PATCH /api/account/profile 调用</x:v>
      </x:c>
      <x:c r="I69" s="13" t="str">
        <x:v>读取和修改均使用当前服务端会话；前端不能修改邮箱或余额</x:v>
      </x:c>
      <x:c r="J69" s="13" t="str">
        <x:v>FE-ACCOUNT-02</x:v>
      </x:c>
      <x:c r="K69" s="13" t="str">
        <x:v>已完成</x:v>
      </x:c>
      <x:c r="L69" s="13" t="str">
        <x:v>08-20</x:v>
      </x:c>
      <x:c r="M69" s="13" t="str">
        <x:v>2026-08-21</x:v>
      </x:c>
      <x:c r="N69" s="13" t="str">
        <x:v>user_id(UUID)；删除申请ID；数据导出ID；邮箱仅作登录标识</x:v>
      </x:c>
      <x:c r="O69" s="13" t="str">
        <x:v>unverified/active/deletion_pending/deleted；导出queued/processing/ready/failed/expired</x:v>
      </x:c>
      <x:c r="P69" s="13" t="str">
        <x:v>重复注册、会话过期、未验证、活动任务阻止删除、导出过期</x:v>
      </x:c>
      <x:c r="Q69" s="13" t="str">
        <x:v>仅本人访问；高风险操作重新认证；Service Role仅后端</x:v>
      </x:c>
      <x:c r="R69" s="13" t="str">
        <x:v>账户初始化/赠点/删除/导出均幂等；删除宽限30天；导出24小时</x:v>
      </x:c>
    </x:row>
    <x:row r="70" ht="68" customHeight="1">
      <x:c r="A70" s="13" t="str">
        <x:v>第 1 期</x:v>
      </x:c>
      <x:c r="B70" s="13" t="str">
        <x:v>1. 用户、登录与账户</x:v>
      </x:c>
      <x:c r="C70" s="13" t="str">
        <x:v>USER-001/002/003</x:v>
      </x:c>
      <x:c r="D70" s="13" t="str">
        <x:v>账户摘要与昵称</x:v>
      </x:c>
      <x:c r="E70" s="13" t="str">
        <x:v>FE-ACCOUNT-07</x:v>
      </x:c>
      <x:c r="F70" s="13" t="str">
        <x:v>前端</x:v>
      </x:c>
      <x:c r="G70" s="13" t="str">
        <x:v>实现账户页加载状态</x:v>
      </x:c>
      <x:c r="H70" s="13" t="str">
        <x:v>骨架屏或进度反馈</x:v>
      </x:c>
      <x:c r="I70" s="13" t="str">
        <x:v>请求期间有可感知反馈；重复操作被禁用</x:v>
      </x:c>
      <x:c r="J70" s="13" t="str">
        <x:v>FE-ACCOUNT-02</x:v>
      </x:c>
      <x:c r="K70" s="13" t="str">
        <x:v>已完成</x:v>
      </x:c>
      <x:c r="L70" s="13" t="str">
        <x:v>08-20</x:v>
      </x:c>
      <x:c r="M70" s="13" t="str">
        <x:v>2026-08-20</x:v>
      </x:c>
      <x:c r="N70" s="13" t="str">
        <x:v>user_id(UUID)；删除申请ID；数据导出ID；邮箱仅作登录标识</x:v>
      </x:c>
      <x:c r="O70" s="13" t="str">
        <x:v>unverified/active/deletion_pending/deleted；导出queued/processing/ready/failed/expired</x:v>
      </x:c>
      <x:c r="P70" s="13" t="str">
        <x:v>重复注册、会话过期、未验证、活动任务阻止删除、导出过期</x:v>
      </x:c>
      <x:c r="Q70" s="13" t="str">
        <x:v>仅本人访问；高风险操作重新认证；Service Role仅后端</x:v>
      </x:c>
      <x:c r="R70" s="13" t="str">
        <x:v>账户初始化/赠点/删除/导出均幂等；删除宽限30天；导出24小时</x:v>
      </x:c>
    </x:row>
    <x:row r="71" ht="68" customHeight="1">
      <x:c r="A71" s="13" t="str">
        <x:v>第 1 期</x:v>
      </x:c>
      <x:c r="B71" s="13" t="str">
        <x:v>1. 用户、登录与账户</x:v>
      </x:c>
      <x:c r="C71" s="13" t="str">
        <x:v>USER-001/002/003</x:v>
      </x:c>
      <x:c r="D71" s="13" t="str">
        <x:v>账户摘要与昵称</x:v>
      </x:c>
      <x:c r="E71" s="13" t="str">
        <x:v>FE-ACCOUNT-08</x:v>
      </x:c>
      <x:c r="F71" s="13" t="str">
        <x:v>前端</x:v>
      </x:c>
      <x:c r="G71" s="13" t="str">
        <x:v>实现账户页错误映射</x:v>
      </x:c>
      <x:c r="H71" s="13" t="str">
        <x:v>稳定错误码到双语用户文案的映射</x:v>
      </x:c>
      <x:c r="I71" s="13" t="str">
        <x:v>业务错误可恢复；未知错误不泄露内部信息</x:v>
      </x:c>
      <x:c r="J71" s="13" t="str">
        <x:v>FE-ACCOUNT-02</x:v>
      </x:c>
      <x:c r="K71" s="13" t="str">
        <x:v>待完成</x:v>
      </x:c>
      <x:c r="L71" s="13" t="str">
        <x:v>08-20</x:v>
      </x:c>
      <x:c r="M71" s="13" t="str">
        <x:v>—</x:v>
      </x:c>
      <x:c r="N71" s="13" t="str">
        <x:v>user_id(UUID)；删除申请ID；数据导出ID；邮箱仅作登录标识</x:v>
      </x:c>
      <x:c r="O71" s="13" t="str">
        <x:v>unverified/active/deletion_pending/deleted；导出queued/processing/ready/failed/expired</x:v>
      </x:c>
      <x:c r="P71" s="13" t="str">
        <x:v>重复注册、会话过期、未验证、活动任务阻止删除、导出过期</x:v>
      </x:c>
      <x:c r="Q71" s="13" t="str">
        <x:v>仅本人访问；高风险操作重新认证；Service Role仅后端</x:v>
      </x:c>
      <x:c r="R71" s="13" t="str">
        <x:v>账户初始化/赠点/删除/导出均幂等；删除宽限30天；导出24小时</x:v>
      </x:c>
    </x:row>
    <x:row r="72" ht="68" customHeight="1">
      <x:c r="A72" s="13" t="str">
        <x:v>第 1 期</x:v>
      </x:c>
      <x:c r="B72" s="13" t="str">
        <x:v>1. 用户、登录与账户</x:v>
      </x:c>
      <x:c r="C72" s="13" t="str">
        <x:v>USER-001/002/003</x:v>
      </x:c>
      <x:c r="D72" s="13" t="str">
        <x:v>账户摘要与昵称</x:v>
      </x:c>
      <x:c r="E72" s="13" t="str">
        <x:v>FE-ACCOUNT-09</x:v>
      </x:c>
      <x:c r="F72" s="13" t="str">
        <x:v>前端</x:v>
      </x:c>
      <x:c r="G72" s="13" t="str">
        <x:v>完成账户页中英文文案</x:v>
      </x:c>
      <x:c r="H72" s="13" t="str">
        <x:v>en/zh词条</x:v>
      </x:c>
      <x:c r="I72" s="13" t="str">
        <x:v>切换语言后字段含义、按钮和错误保持一致</x:v>
      </x:c>
      <x:c r="J72" s="13" t="str">
        <x:v>—</x:v>
      </x:c>
      <x:c r="K72" s="13" t="str">
        <x:v>已完成</x:v>
      </x:c>
      <x:c r="L72" s="13" t="str">
        <x:v>08-20</x:v>
      </x:c>
      <x:c r="M72" s="13" t="str">
        <x:v>2026-08-20</x:v>
      </x:c>
      <x:c r="N72" s="13" t="str">
        <x:v>user_id(UUID)；删除申请ID；数据导出ID；邮箱仅作登录标识</x:v>
      </x:c>
      <x:c r="O72" s="13" t="str">
        <x:v>unverified/active/deletion_pending/deleted；导出queued/processing/ready/failed/expired</x:v>
      </x:c>
      <x:c r="P72" s="13" t="str">
        <x:v>重复注册、会话过期、未验证、活动任务阻止删除、导出过期</x:v>
      </x:c>
      <x:c r="Q72" s="13" t="str">
        <x:v>仅本人访问；高风险操作重新认证；Service Role仅后端</x:v>
      </x:c>
      <x:c r="R72" s="13" t="str">
        <x:v>账户初始化/赠点/删除/导出均幂等；删除宽限30天；导出24小时</x:v>
      </x:c>
    </x:row>
    <x:row r="73" ht="68" customHeight="1">
      <x:c r="A73" s="13" t="str">
        <x:v>第 1 期</x:v>
      </x:c>
      <x:c r="B73" s="13" t="str">
        <x:v>1. 用户、登录与账户</x:v>
      </x:c>
      <x:c r="C73" s="13" t="str">
        <x:v>USER-001/002/003</x:v>
      </x:c>
      <x:c r="D73" s="13" t="str">
        <x:v>账户摘要与昵称</x:v>
      </x:c>
      <x:c r="E73" s="13" t="str">
        <x:v>FE-ACCOUNT-10</x:v>
      </x:c>
      <x:c r="F73" s="13" t="str">
        <x:v>前端</x:v>
      </x:c>
      <x:c r="G73" s="13" t="str">
        <x:v>完成账户页键盘与屏幕阅读器支持</x:v>
      </x:c>
      <x:c r="H73" s="13" t="str">
        <x:v>语义标签、焦点顺序、aria-live</x:v>
      </x:c>
      <x:c r="I73" s="13" t="str">
        <x:v>仅键盘可完成主流程；错误与状态可被读出</x:v>
      </x:c>
      <x:c r="J73" s="13" t="str">
        <x:v>—</x:v>
      </x:c>
      <x:c r="K73" s="13" t="str">
        <x:v>待完成</x:v>
      </x:c>
      <x:c r="L73" s="13" t="str">
        <x:v>08-20</x:v>
      </x:c>
      <x:c r="M73" s="13" t="str">
        <x:v>—</x:v>
      </x:c>
      <x:c r="N73" s="13" t="str">
        <x:v>user_id(UUID)；删除申请ID；数据导出ID；邮箱仅作登录标识</x:v>
      </x:c>
      <x:c r="O73" s="13" t="str">
        <x:v>unverified/active/deletion_pending/deleted；导出queued/processing/ready/failed/expired</x:v>
      </x:c>
      <x:c r="P73" s="13" t="str">
        <x:v>重复注册、会话过期、未验证、活动任务阻止删除、导出过期</x:v>
      </x:c>
      <x:c r="Q73" s="13" t="str">
        <x:v>仅本人访问；高风险操作重新认证；Service Role仅后端</x:v>
      </x:c>
      <x:c r="R73" s="13" t="str">
        <x:v>账户初始化/赠点/删除/导出均幂等；删除宽限30天；导出24小时</x:v>
      </x:c>
    </x:row>
    <x:row r="74" ht="68" customHeight="1">
      <x:c r="A74" s="13" t="str">
        <x:v>第 1 期</x:v>
      </x:c>
      <x:c r="B74" s="13" t="str">
        <x:v>1. 用户、登录与账户</x:v>
      </x:c>
      <x:c r="C74" s="13" t="str">
        <x:v>USER-001/002/003</x:v>
      </x:c>
      <x:c r="D74" s="13" t="str">
        <x:v>账户摘要与昵称</x:v>
      </x:c>
      <x:c r="E74" s="13" t="str">
        <x:v>FE-ACCOUNT-11</x:v>
      </x:c>
      <x:c r="F74" s="13" t="str">
        <x:v>前端</x:v>
      </x:c>
      <x:c r="G74" s="13" t="str">
        <x:v>编写账户页组件测试</x:v>
      </x:c>
      <x:c r="H74" s="13" t="str">
        <x:v>组件与交互测试</x:v>
      </x:c>
      <x:c r="I74" s="13" t="str">
        <x:v>覆盖成功、校验失败、服务端失败和重复点击</x:v>
      </x:c>
      <x:c r="J74" s="13" t="str">
        <x:v>—</x:v>
      </x:c>
      <x:c r="K74" s="13" t="str">
        <x:v>待完成</x:v>
      </x:c>
      <x:c r="L74" s="13" t="str">
        <x:v>08-20</x:v>
      </x:c>
      <x:c r="M74" s="13" t="str">
        <x:v>—</x:v>
      </x:c>
      <x:c r="N74" s="13" t="str">
        <x:v>user_id(UUID)；删除申请ID；数据导出ID；邮箱仅作登录标识</x:v>
      </x:c>
      <x:c r="O74" s="13" t="str">
        <x:v>unverified/active/deletion_pending/deleted；导出queued/processing/ready/failed/expired</x:v>
      </x:c>
      <x:c r="P74" s="13" t="str">
        <x:v>重复注册、会话过期、未验证、活动任务阻止删除、导出过期</x:v>
      </x:c>
      <x:c r="Q74" s="13" t="str">
        <x:v>仅本人访问；高风险操作重新认证；Service Role仅后端</x:v>
      </x:c>
      <x:c r="R74" s="13" t="str">
        <x:v>账户初始化/赠点/删除/导出均幂等；删除宽限30天；导出24小时</x:v>
      </x:c>
    </x:row>
    <x:row r="75" ht="68" customHeight="1">
      <x:c r="A75" s="13" t="str">
        <x:v>第 3 期</x:v>
      </x:c>
      <x:c r="B75" s="13" t="str">
        <x:v>1. 用户、登录与账户</x:v>
      </x:c>
      <x:c r="C75" s="13" t="str">
        <x:v>USER-005/006</x:v>
      </x:c>
      <x:c r="D75" s="13" t="str">
        <x:v>删除账户与数据导出</x:v>
      </x:c>
      <x:c r="E75" s="13" t="str">
        <x:v>FE-DELETE-01</x:v>
      </x:c>
      <x:c r="F75" s="13" t="str">
        <x:v>前端</x:v>
      </x:c>
      <x:c r="G75" s="13" t="str">
        <x:v>建立删除账户页路由与页面边界</x:v>
      </x:c>
      <x:c r="H75" s="13" t="str">
        <x:v>删除账户页路由、页面组件和Metadata</x:v>
      </x:c>
      <x:c r="I75" s="13" t="str">
        <x:v>直接访问路由可渲染；未授权跳转符合PRD；无运行时错误</x:v>
      </x:c>
      <x:c r="J75" s="13" t="str">
        <x:v>—</x:v>
      </x:c>
      <x:c r="K75" s="13" t="str">
        <x:v>已完成</x:v>
      </x:c>
      <x:c r="L75" s="13" t="str">
        <x:v>09-20～09-22</x:v>
      </x:c>
      <x:c r="M75" s="13" t="str">
        <x:v>2026-08-20</x:v>
      </x:c>
      <x:c r="N75" s="13" t="str">
        <x:v>user_id(UUID)；删除申请ID；数据导出ID；邮箱仅作登录标识</x:v>
      </x:c>
      <x:c r="O75" s="13" t="str">
        <x:v>unverified/active/deletion_pending/deleted；导出queued/processing/ready/failed/expired</x:v>
      </x:c>
      <x:c r="P75" s="13" t="str">
        <x:v>重复注册、会话过期、未验证、活动任务阻止删除、导出过期</x:v>
      </x:c>
      <x:c r="Q75" s="13" t="str">
        <x:v>仅本人访问；高风险操作重新认证；Service Role仅后端</x:v>
      </x:c>
      <x:c r="R75" s="13" t="str">
        <x:v>账户初始化/赠点/删除/导出均幂等；删除宽限30天；导出24小时</x:v>
      </x:c>
    </x:row>
    <x:row r="76" ht="68" customHeight="1">
      <x:c r="A76" s="13" t="str">
        <x:v>第 3 期</x:v>
      </x:c>
      <x:c r="B76" s="13" t="str">
        <x:v>1. 用户、登录与账户</x:v>
      </x:c>
      <x:c r="C76" s="13" t="str">
        <x:v>USER-005/006</x:v>
      </x:c>
      <x:c r="D76" s="13" t="str">
        <x:v>删除账户与数据导出</x:v>
      </x:c>
      <x:c r="E76" s="13" t="str">
        <x:v>FE-DELETE-02</x:v>
      </x:c>
      <x:c r="F76" s="13" t="str">
        <x:v>前端</x:v>
      </x:c>
      <x:c r="G76" s="13" t="str">
        <x:v>定义删除账户页页面状态模型</x:v>
      </x:c>
      <x:c r="H76" s="13" t="str">
        <x:v>页面状态类型与初始化逻辑</x:v>
      </x:c>
      <x:c r="I76" s="13" t="str">
        <x:v>每个状态只有一个含义；刷新后可恢复服务端状态</x:v>
      </x:c>
      <x:c r="J76" s="13" t="str">
        <x:v>FE-DELETE-01</x:v>
      </x:c>
      <x:c r="K76" s="13" t="str">
        <x:v>已完成</x:v>
      </x:c>
      <x:c r="L76" s="13" t="str">
        <x:v>09-20～09-22</x:v>
      </x:c>
      <x:c r="M76" s="13" t="str">
        <x:v>2026-08-20</x:v>
      </x:c>
      <x:c r="N76" s="13" t="str">
        <x:v>user_id(UUID)；删除申请ID；数据导出ID；邮箱仅作登录标识</x:v>
      </x:c>
      <x:c r="O76" s="13" t="str">
        <x:v>unverified/active/deletion_pending/deleted；导出queued/processing/ready/failed/expired</x:v>
      </x:c>
      <x:c r="P76" s="13" t="str">
        <x:v>重复注册、会话过期、未验证、活动任务阻止删除、导出过期</x:v>
      </x:c>
      <x:c r="Q76" s="13" t="str">
        <x:v>仅本人访问；高风险操作重新认证；Service Role仅后端</x:v>
      </x:c>
      <x:c r="R76" s="13" t="str">
        <x:v>账户初始化/赠点/删除/导出均幂等；删除宽限30天；导出24小时</x:v>
      </x:c>
    </x:row>
    <x:row r="77" ht="68" customHeight="1">
      <x:c r="A77" s="13" t="str">
        <x:v>第 3 期</x:v>
      </x:c>
      <x:c r="B77" s="13" t="str">
        <x:v>1. 用户、登录与账户</x:v>
      </x:c>
      <x:c r="C77" s="13" t="str">
        <x:v>USER-005/006</x:v>
      </x:c>
      <x:c r="D77" s="13" t="str">
        <x:v>删除账户与数据导出</x:v>
      </x:c>
      <x:c r="E77" s="13" t="str">
        <x:v>FE-DELETE-03</x:v>
      </x:c>
      <x:c r="F77" s="13" t="str">
        <x:v>前端</x:v>
      </x:c>
      <x:c r="G77" s="13" t="str">
        <x:v>实现重新认证提示</x:v>
      </x:c>
      <x:c r="H77" s="13" t="str">
        <x:v>高风险操作认证入口</x:v>
      </x:c>
      <x:c r="I77" s="13" t="str">
        <x:v>认证失效时不能提交删除</x:v>
      </x:c>
      <x:c r="J77" s="13" t="str">
        <x:v>—</x:v>
      </x:c>
      <x:c r="K77" s="13" t="str">
        <x:v>已完成</x:v>
      </x:c>
      <x:c r="L77" s="13" t="str">
        <x:v>09-20～09-22</x:v>
      </x:c>
      <x:c r="M77" s="13" t="str">
        <x:v>2026-08-20</x:v>
      </x:c>
      <x:c r="N77" s="13" t="str">
        <x:v>user_id(UUID)；删除申请ID；数据导出ID；邮箱仅作登录标识</x:v>
      </x:c>
      <x:c r="O77" s="13" t="str">
        <x:v>unverified/active/deletion_pending/deleted；导出queued/processing/ready/failed/expired</x:v>
      </x:c>
      <x:c r="P77" s="13" t="str">
        <x:v>重复注册、会话过期、未验证、活动任务阻止删除、导出过期</x:v>
      </x:c>
      <x:c r="Q77" s="13" t="str">
        <x:v>仅本人访问；高风险操作重新认证；Service Role仅后端</x:v>
      </x:c>
      <x:c r="R77" s="13" t="str">
        <x:v>账户初始化/赠点/删除/导出均幂等；删除宽限30天；导出24小时</x:v>
      </x:c>
    </x:row>
    <x:row r="78" ht="68" customHeight="1">
      <x:c r="A78" s="13" t="str">
        <x:v>第 3 期</x:v>
      </x:c>
      <x:c r="B78" s="13" t="str">
        <x:v>1. 用户、登录与账户</x:v>
      </x:c>
      <x:c r="C78" s="13" t="str">
        <x:v>USER-005/006</x:v>
      </x:c>
      <x:c r="D78" s="13" t="str">
        <x:v>删除账户与数据导出</x:v>
      </x:c>
      <x:c r="E78" s="13" t="str">
        <x:v>FE-DELETE-04</x:v>
      </x:c>
      <x:c r="F78" s="13" t="str">
        <x:v>前端</x:v>
      </x:c>
      <x:c r="G78" s="13" t="str">
        <x:v>实现删除二次确认</x:v>
      </x:c>
      <x:c r="H78" s="13" t="str">
        <x:v>明确损失和确认输入</x:v>
      </x:c>
      <x:c r="I78" s="13" t="str">
        <x:v>未满足确认条件按钮禁用</x:v>
      </x:c>
      <x:c r="J78" s="13" t="str">
        <x:v>—</x:v>
      </x:c>
      <x:c r="K78" s="13" t="str">
        <x:v>已完成</x:v>
      </x:c>
      <x:c r="L78" s="13" t="str">
        <x:v>09-20～09-22</x:v>
      </x:c>
      <x:c r="M78" s="13" t="str">
        <x:v>2026-08-20</x:v>
      </x:c>
      <x:c r="N78" s="13" t="str">
        <x:v>user_id(UUID)；删除申请ID；数据导出ID；邮箱仅作登录标识</x:v>
      </x:c>
      <x:c r="O78" s="13" t="str">
        <x:v>unverified/active/deletion_pending/deleted；导出queued/processing/ready/failed/expired</x:v>
      </x:c>
      <x:c r="P78" s="13" t="str">
        <x:v>重复注册、会话过期、未验证、活动任务阻止删除、导出过期</x:v>
      </x:c>
      <x:c r="Q78" s="13" t="str">
        <x:v>仅本人访问；高风险操作重新认证；Service Role仅后端</x:v>
      </x:c>
      <x:c r="R78" s="13" t="str">
        <x:v>账户初始化/赠点/删除/导出均幂等；删除宽限30天；导出24小时</x:v>
      </x:c>
    </x:row>
    <x:row r="79" ht="68" customHeight="1">
      <x:c r="A79" s="13" t="str">
        <x:v>第 3 期</x:v>
      </x:c>
      <x:c r="B79" s="13" t="str">
        <x:v>1. 用户、登录与账户</x:v>
      </x:c>
      <x:c r="C79" s="13" t="str">
        <x:v>USER-005/006</x:v>
      </x:c>
      <x:c r="D79" s="13" t="str">
        <x:v>删除账户与数据导出</x:v>
      </x:c>
      <x:c r="E79" s="13" t="str">
        <x:v>FE-DELETE-05</x:v>
      </x:c>
      <x:c r="F79" s="13" t="str">
        <x:v>前端</x:v>
      </x:c>
      <x:c r="G79" s="13" t="str">
        <x:v>展示30天宽限倒计时</x:v>
      </x:c>
      <x:c r="H79" s="13" t="str">
        <x:v>scheduledDeletionAt倒计时</x:v>
      </x:c>
      <x:c r="I79" s="13" t="str">
        <x:v>时区和截止时间一致</x:v>
      </x:c>
      <x:c r="J79" s="13" t="str">
        <x:v>—</x:v>
      </x:c>
      <x:c r="K79" s="13" t="str">
        <x:v>已完成</x:v>
      </x:c>
      <x:c r="L79" s="13" t="str">
        <x:v>09-20～09-22</x:v>
      </x:c>
      <x:c r="M79" s="13" t="str">
        <x:v>2026-08-20</x:v>
      </x:c>
      <x:c r="N79" s="13" t="str">
        <x:v>user_id(UUID)；删除申请ID；数据导出ID；邮箱仅作登录标识</x:v>
      </x:c>
      <x:c r="O79" s="13" t="str">
        <x:v>unverified/active/deletion_pending/deleted；导出queued/processing/ready/failed/expired</x:v>
      </x:c>
      <x:c r="P79" s="13" t="str">
        <x:v>重复注册、会话过期、未验证、活动任务阻止删除、导出过期</x:v>
      </x:c>
      <x:c r="Q79" s="13" t="str">
        <x:v>仅本人访问；高风险操作重新认证；Service Role仅后端</x:v>
      </x:c>
      <x:c r="R79" s="13" t="str">
        <x:v>账户初始化/赠点/删除/导出均幂等；删除宽限30天；导出24小时</x:v>
      </x:c>
    </x:row>
    <x:row r="80" ht="68" customHeight="1">
      <x:c r="A80" s="13" t="str">
        <x:v>第 3 期</x:v>
      </x:c>
      <x:c r="B80" s="13" t="str">
        <x:v>1. 用户、登录与账户</x:v>
      </x:c>
      <x:c r="C80" s="13" t="str">
        <x:v>USER-005/006</x:v>
      </x:c>
      <x:c r="D80" s="13" t="str">
        <x:v>删除账户与数据导出</x:v>
      </x:c>
      <x:c r="E80" s="13" t="str">
        <x:v>FE-DELETE-06</x:v>
      </x:c>
      <x:c r="F80" s="13" t="str">
        <x:v>前端</x:v>
      </x:c>
      <x:c r="G80" s="13" t="str">
        <x:v>实现撤销删除</x:v>
      </x:c>
      <x:c r="H80" s="13" t="str">
        <x:v>撤销按钮和确认反馈</x:v>
      </x:c>
      <x:c r="I80" s="13" t="str">
        <x:v>宽限期内可恢复active</x:v>
      </x:c>
      <x:c r="J80" s="13" t="str">
        <x:v>—</x:v>
      </x:c>
      <x:c r="K80" s="13" t="str">
        <x:v>已完成</x:v>
      </x:c>
      <x:c r="L80" s="13" t="str">
        <x:v>09-20～09-22</x:v>
      </x:c>
      <x:c r="M80" s="13" t="str">
        <x:v>2026-08-20</x:v>
      </x:c>
      <x:c r="N80" s="13" t="str">
        <x:v>user_id(UUID)；删除申请ID；数据导出ID；邮箱仅作登录标识</x:v>
      </x:c>
      <x:c r="O80" s="13" t="str">
        <x:v>unverified/active/deletion_pending/deleted；导出queued/processing/ready/failed/expired</x:v>
      </x:c>
      <x:c r="P80" s="13" t="str">
        <x:v>重复注册、会话过期、未验证、活动任务阻止删除、导出过期</x:v>
      </x:c>
      <x:c r="Q80" s="13" t="str">
        <x:v>仅本人访问；高风险操作重新认证；Service Role仅后端</x:v>
      </x:c>
      <x:c r="R80" s="13" t="str">
        <x:v>账户初始化/赠点/删除/导出均幂等；删除宽限30天；导出24小时</x:v>
      </x:c>
    </x:row>
    <x:row r="81" ht="68" customHeight="1">
      <x:c r="A81" s="13" t="str">
        <x:v>第 3 期</x:v>
      </x:c>
      <x:c r="B81" s="13" t="str">
        <x:v>1. 用户、登录与账户</x:v>
      </x:c>
      <x:c r="C81" s="13" t="str">
        <x:v>USER-005/006</x:v>
      </x:c>
      <x:c r="D81" s="13" t="str">
        <x:v>删除账户与数据导出</x:v>
      </x:c>
      <x:c r="E81" s="13" t="str">
        <x:v>FE-DELETE-07</x:v>
      </x:c>
      <x:c r="F81" s="13" t="str">
        <x:v>前端</x:v>
      </x:c>
      <x:c r="G81" s="13" t="str">
        <x:v>展示导出内容清单</x:v>
      </x:c>
      <x:c r="H81" s="13" t="str">
        <x:v>资料、订单、账本、摘要、有效PNG</x:v>
      </x:c>
      <x:c r="I81" s="13" t="str">
        <x:v>不误导包含已过期资产</x:v>
      </x:c>
      <x:c r="J81" s="13" t="str">
        <x:v>—</x:v>
      </x:c>
      <x:c r="K81" s="13" t="str">
        <x:v>待完成</x:v>
      </x:c>
      <x:c r="L81" s="13" t="str">
        <x:v>09-20～09-22</x:v>
      </x:c>
      <x:c r="M81" s="13" t="str">
        <x:v>—</x:v>
      </x:c>
      <x:c r="N81" s="13" t="str">
        <x:v>user_id(UUID)；删除申请ID；数据导出ID；邮箱仅作登录标识</x:v>
      </x:c>
      <x:c r="O81" s="13" t="str">
        <x:v>unverified/active/deletion_pending/deleted；导出queued/processing/ready/failed/expired</x:v>
      </x:c>
      <x:c r="P81" s="13" t="str">
        <x:v>重复注册、会话过期、未验证、活动任务阻止删除、导出过期</x:v>
      </x:c>
      <x:c r="Q81" s="13" t="str">
        <x:v>仅本人访问；高风险操作重新认证；Service Role仅后端</x:v>
      </x:c>
      <x:c r="R81" s="13" t="str">
        <x:v>账户初始化/赠点/删除/导出均幂等；删除宽限30天；导出24小时</x:v>
      </x:c>
    </x:row>
    <x:row r="82" ht="68" customHeight="1">
      <x:c r="A82" s="13" t="str">
        <x:v>第 3 期</x:v>
      </x:c>
      <x:c r="B82" s="13" t="str">
        <x:v>1. 用户、登录与账户</x:v>
      </x:c>
      <x:c r="C82" s="13" t="str">
        <x:v>USER-005/006</x:v>
      </x:c>
      <x:c r="D82" s="13" t="str">
        <x:v>删除账户与数据导出</x:v>
      </x:c>
      <x:c r="E82" s="13" t="str">
        <x:v>FE-DELETE-08</x:v>
      </x:c>
      <x:c r="F82" s="13" t="str">
        <x:v>前端</x:v>
      </x:c>
      <x:c r="G82" s="13" t="str">
        <x:v>实现导出任务轮询</x:v>
      </x:c>
      <x:c r="H82" s="13" t="str">
        <x:v>queued/processing/ready/failed/expired</x:v>
      </x:c>
      <x:c r="I82" s="13" t="str">
        <x:v>ready显示下载；failed可重试</x:v>
      </x:c>
      <x:c r="J82" s="13" t="str">
        <x:v>—</x:v>
      </x:c>
      <x:c r="K82" s="13" t="str">
        <x:v>待完成</x:v>
      </x:c>
      <x:c r="L82" s="13" t="str">
        <x:v>09-20～09-22</x:v>
      </x:c>
      <x:c r="M82" s="13" t="str">
        <x:v>—</x:v>
      </x:c>
      <x:c r="N82" s="13" t="str">
        <x:v>user_id(UUID)；删除申请ID；数据导出ID；邮箱仅作登录标识</x:v>
      </x:c>
      <x:c r="O82" s="13" t="str">
        <x:v>unverified/active/deletion_pending/deleted；导出queued/processing/ready/failed/expired</x:v>
      </x:c>
      <x:c r="P82" s="13" t="str">
        <x:v>重复注册、会话过期、未验证、活动任务阻止删除、导出过期</x:v>
      </x:c>
      <x:c r="Q82" s="13" t="str">
        <x:v>仅本人访问；高风险操作重新认证；Service Role仅后端</x:v>
      </x:c>
      <x:c r="R82" s="13" t="str">
        <x:v>账户初始化/赠点/删除/导出均幂等；删除宽限30天；导出24小时</x:v>
      </x:c>
    </x:row>
    <x:row r="83" ht="68" customHeight="1">
      <x:c r="A83" s="13" t="str">
        <x:v>第 3 期</x:v>
      </x:c>
      <x:c r="B83" s="13" t="str">
        <x:v>1. 用户、登录与账户</x:v>
      </x:c>
      <x:c r="C83" s="13" t="str">
        <x:v>USER-005/006</x:v>
      </x:c>
      <x:c r="D83" s="13" t="str">
        <x:v>删除账户与数据导出</x:v>
      </x:c>
      <x:c r="E83" s="13" t="str">
        <x:v>FE-DELETE-09</x:v>
      </x:c>
      <x:c r="F83" s="13" t="str">
        <x:v>前端</x:v>
      </x:c>
      <x:c r="G83" s="13" t="str">
        <x:v>接入删除账户页服务端接口</x:v>
      </x:c>
      <x:c r="H83" s="13" t="str">
        <x:v>delete-request/data-export客户端适配器</x:v>
      </x:c>
      <x:c r="I83" s="13" t="str">
        <x:v>请求字段与共享Schema一致；不在组件内拼装不受控请求</x:v>
      </x:c>
      <x:c r="J83" s="13" t="str">
        <x:v>FE-DELETE-02</x:v>
      </x:c>
      <x:c r="K83" s="13" t="str">
        <x:v>已完成</x:v>
      </x:c>
      <x:c r="L83" s="13" t="str">
        <x:v>09-20～09-22</x:v>
      </x:c>
      <x:c r="M83" s="13" t="str">
        <x:v>2026-08-20</x:v>
      </x:c>
      <x:c r="N83" s="13" t="str">
        <x:v>user_id(UUID)；删除申请ID；数据导出ID；邮箱仅作登录标识</x:v>
      </x:c>
      <x:c r="O83" s="13" t="str">
        <x:v>unverified/active/deletion_pending/deleted；导出queued/processing/ready/failed/expired</x:v>
      </x:c>
      <x:c r="P83" s="13" t="str">
        <x:v>重复注册、会话过期、未验证、活动任务阻止删除、导出过期</x:v>
      </x:c>
      <x:c r="Q83" s="13" t="str">
        <x:v>仅本人访问；高风险操作重新认证；Service Role仅后端</x:v>
      </x:c>
      <x:c r="R83" s="13" t="str">
        <x:v>账户初始化/赠点/删除/导出均幂等；删除宽限30天；导出24小时</x:v>
      </x:c>
    </x:row>
    <x:row r="84" ht="68" customHeight="1">
      <x:c r="A84" s="13" t="str">
        <x:v>第 3 期</x:v>
      </x:c>
      <x:c r="B84" s="13" t="str">
        <x:v>1. 用户、登录与账户</x:v>
      </x:c>
      <x:c r="C84" s="13" t="str">
        <x:v>USER-005/006</x:v>
      </x:c>
      <x:c r="D84" s="13" t="str">
        <x:v>删除账户与数据导出</x:v>
      </x:c>
      <x:c r="E84" s="13" t="str">
        <x:v>FE-DELETE-10</x:v>
      </x:c>
      <x:c r="F84" s="13" t="str">
        <x:v>前端</x:v>
      </x:c>
      <x:c r="G84" s="13" t="str">
        <x:v>实现删除账户页加载状态</x:v>
      </x:c>
      <x:c r="H84" s="13" t="str">
        <x:v>骨架屏或进度反馈</x:v>
      </x:c>
      <x:c r="I84" s="13" t="str">
        <x:v>请求期间有可感知反馈；重复操作被禁用</x:v>
      </x:c>
      <x:c r="J84" s="13" t="str">
        <x:v>FE-DELETE-02</x:v>
      </x:c>
      <x:c r="K84" s="13" t="str">
        <x:v>已完成</x:v>
      </x:c>
      <x:c r="L84" s="13" t="str">
        <x:v>09-20～09-22</x:v>
      </x:c>
      <x:c r="M84" s="13" t="str">
        <x:v>2026-08-20</x:v>
      </x:c>
      <x:c r="N84" s="13" t="str">
        <x:v>user_id(UUID)；删除申请ID；数据导出ID；邮箱仅作登录标识</x:v>
      </x:c>
      <x:c r="O84" s="13" t="str">
        <x:v>unverified/active/deletion_pending/deleted；导出queued/processing/ready/failed/expired</x:v>
      </x:c>
      <x:c r="P84" s="13" t="str">
        <x:v>重复注册、会话过期、未验证、活动任务阻止删除、导出过期</x:v>
      </x:c>
      <x:c r="Q84" s="13" t="str">
        <x:v>仅本人访问；高风险操作重新认证；Service Role仅后端</x:v>
      </x:c>
      <x:c r="R84" s="13" t="str">
        <x:v>账户初始化/赠点/删除/导出均幂等；删除宽限30天；导出24小时</x:v>
      </x:c>
    </x:row>
    <x:row r="85" ht="68" customHeight="1">
      <x:c r="A85" s="13" t="str">
        <x:v>第 3 期</x:v>
      </x:c>
      <x:c r="B85" s="13" t="str">
        <x:v>1. 用户、登录与账户</x:v>
      </x:c>
      <x:c r="C85" s="13" t="str">
        <x:v>USER-005/006</x:v>
      </x:c>
      <x:c r="D85" s="13" t="str">
        <x:v>删除账户与数据导出</x:v>
      </x:c>
      <x:c r="E85" s="13" t="str">
        <x:v>FE-DELETE-11</x:v>
      </x:c>
      <x:c r="F85" s="13" t="str">
        <x:v>前端</x:v>
      </x:c>
      <x:c r="G85" s="13" t="str">
        <x:v>实现删除账户页错误映射</x:v>
      </x:c>
      <x:c r="H85" s="13" t="str">
        <x:v>稳定错误码到双语用户文案的映射</x:v>
      </x:c>
      <x:c r="I85" s="13" t="str">
        <x:v>业务错误可恢复；未知错误不泄露内部信息</x:v>
      </x:c>
      <x:c r="J85" s="13" t="str">
        <x:v>FE-DELETE-02</x:v>
      </x:c>
      <x:c r="K85" s="13" t="str">
        <x:v>待完成</x:v>
      </x:c>
      <x:c r="L85" s="13" t="str">
        <x:v>09-20～09-22</x:v>
      </x:c>
      <x:c r="M85" s="13" t="str">
        <x:v>—</x:v>
      </x:c>
      <x:c r="N85" s="13" t="str">
        <x:v>user_id(UUID)；删除申请ID；数据导出ID；邮箱仅作登录标识</x:v>
      </x:c>
      <x:c r="O85" s="13" t="str">
        <x:v>unverified/active/deletion_pending/deleted；导出queued/processing/ready/failed/expired</x:v>
      </x:c>
      <x:c r="P85" s="13" t="str">
        <x:v>重复注册、会话过期、未验证、活动任务阻止删除、导出过期</x:v>
      </x:c>
      <x:c r="Q85" s="13" t="str">
        <x:v>仅本人访问；高风险操作重新认证；Service Role仅后端</x:v>
      </x:c>
      <x:c r="R85" s="13" t="str">
        <x:v>账户初始化/赠点/删除/导出均幂等；删除宽限30天；导出24小时</x:v>
      </x:c>
    </x:row>
    <x:row r="86" ht="68" customHeight="1">
      <x:c r="A86" s="13" t="str">
        <x:v>第 3 期</x:v>
      </x:c>
      <x:c r="B86" s="13" t="str">
        <x:v>1. 用户、登录与账户</x:v>
      </x:c>
      <x:c r="C86" s="13" t="str">
        <x:v>USER-005/006</x:v>
      </x:c>
      <x:c r="D86" s="13" t="str">
        <x:v>删除账户与数据导出</x:v>
      </x:c>
      <x:c r="E86" s="13" t="str">
        <x:v>FE-DELETE-12</x:v>
      </x:c>
      <x:c r="F86" s="13" t="str">
        <x:v>前端</x:v>
      </x:c>
      <x:c r="G86" s="13" t="str">
        <x:v>完成删除账户页中英文文案</x:v>
      </x:c>
      <x:c r="H86" s="13" t="str">
        <x:v>en/zh词条</x:v>
      </x:c>
      <x:c r="I86" s="13" t="str">
        <x:v>切换语言后字段含义、按钮和错误保持一致</x:v>
      </x:c>
      <x:c r="J86" s="13" t="str">
        <x:v>—</x:v>
      </x:c>
      <x:c r="K86" s="13" t="str">
        <x:v>已完成</x:v>
      </x:c>
      <x:c r="L86" s="13" t="str">
        <x:v>09-20～09-22</x:v>
      </x:c>
      <x:c r="M86" s="13" t="str">
        <x:v>2026-08-20</x:v>
      </x:c>
      <x:c r="N86" s="13" t="str">
        <x:v>user_id(UUID)；删除申请ID；数据导出ID；邮箱仅作登录标识</x:v>
      </x:c>
      <x:c r="O86" s="13" t="str">
        <x:v>unverified/active/deletion_pending/deleted；导出queued/processing/ready/failed/expired</x:v>
      </x:c>
      <x:c r="P86" s="13" t="str">
        <x:v>重复注册、会话过期、未验证、活动任务阻止删除、导出过期</x:v>
      </x:c>
      <x:c r="Q86" s="13" t="str">
        <x:v>仅本人访问；高风险操作重新认证；Service Role仅后端</x:v>
      </x:c>
      <x:c r="R86" s="13" t="str">
        <x:v>账户初始化/赠点/删除/导出均幂等；删除宽限30天；导出24小时</x:v>
      </x:c>
    </x:row>
    <x:row r="87" ht="68" customHeight="1">
      <x:c r="A87" s="13" t="str">
        <x:v>第 3 期</x:v>
      </x:c>
      <x:c r="B87" s="13" t="str">
        <x:v>1. 用户、登录与账户</x:v>
      </x:c>
      <x:c r="C87" s="13" t="str">
        <x:v>USER-005/006</x:v>
      </x:c>
      <x:c r="D87" s="13" t="str">
        <x:v>删除账户与数据导出</x:v>
      </x:c>
      <x:c r="E87" s="13" t="str">
        <x:v>FE-DELETE-13</x:v>
      </x:c>
      <x:c r="F87" s="13" t="str">
        <x:v>前端</x:v>
      </x:c>
      <x:c r="G87" s="13" t="str">
        <x:v>完成删除账户页键盘与屏幕阅读器支持</x:v>
      </x:c>
      <x:c r="H87" s="13" t="str">
        <x:v>语义标签、焦点顺序、aria-live</x:v>
      </x:c>
      <x:c r="I87" s="13" t="str">
        <x:v>仅键盘可完成主流程；错误与状态可被读出</x:v>
      </x:c>
      <x:c r="J87" s="13" t="str">
        <x:v>—</x:v>
      </x:c>
      <x:c r="K87" s="13" t="str">
        <x:v>已完成</x:v>
      </x:c>
      <x:c r="L87" s="13" t="str">
        <x:v>09-20～09-22</x:v>
      </x:c>
      <x:c r="M87" s="13" t="str">
        <x:v>2026-08-20</x:v>
      </x:c>
      <x:c r="N87" s="13" t="str">
        <x:v>user_id(UUID)；删除申请ID；数据导出ID；邮箱仅作登录标识</x:v>
      </x:c>
      <x:c r="O87" s="13" t="str">
        <x:v>unverified/active/deletion_pending/deleted；导出queued/processing/ready/failed/expired</x:v>
      </x:c>
      <x:c r="P87" s="13" t="str">
        <x:v>重复注册、会话过期、未验证、活动任务阻止删除、导出过期</x:v>
      </x:c>
      <x:c r="Q87" s="13" t="str">
        <x:v>仅本人访问；高风险操作重新认证；Service Role仅后端</x:v>
      </x:c>
      <x:c r="R87" s="13" t="str">
        <x:v>账户初始化/赠点/删除/导出均幂等；删除宽限30天；导出24小时</x:v>
      </x:c>
    </x:row>
    <x:row r="88" ht="68" customHeight="1">
      <x:c r="A88" s="13" t="str">
        <x:v>第 3 期</x:v>
      </x:c>
      <x:c r="B88" s="13" t="str">
        <x:v>1. 用户、登录与账户</x:v>
      </x:c>
      <x:c r="C88" s="13" t="str">
        <x:v>USER-005/006</x:v>
      </x:c>
      <x:c r="D88" s="13" t="str">
        <x:v>删除账户与数据导出</x:v>
      </x:c>
      <x:c r="E88" s="13" t="str">
        <x:v>FE-DELETE-14</x:v>
      </x:c>
      <x:c r="F88" s="13" t="str">
        <x:v>前端</x:v>
      </x:c>
      <x:c r="G88" s="13" t="str">
        <x:v>编写删除账户页组件测试</x:v>
      </x:c>
      <x:c r="H88" s="13" t="str">
        <x:v>组件与交互测试</x:v>
      </x:c>
      <x:c r="I88" s="13" t="str">
        <x:v>覆盖成功、校验失败、服务端失败和重复点击</x:v>
      </x:c>
      <x:c r="J88" s="13" t="str">
        <x:v>—</x:v>
      </x:c>
      <x:c r="K88" s="13" t="str">
        <x:v>待完成</x:v>
      </x:c>
      <x:c r="L88" s="13" t="str">
        <x:v>09-20～09-22</x:v>
      </x:c>
      <x:c r="M88" s="13" t="str">
        <x:v>—</x:v>
      </x:c>
      <x:c r="N88" s="13" t="str">
        <x:v>user_id(UUID)；删除申请ID；数据导出ID；邮箱仅作登录标识</x:v>
      </x:c>
      <x:c r="O88" s="13" t="str">
        <x:v>unverified/active/deletion_pending/deleted；导出queued/processing/ready/failed/expired</x:v>
      </x:c>
      <x:c r="P88" s="13" t="str">
        <x:v>重复注册、会话过期、未验证、活动任务阻止删除、导出过期</x:v>
      </x:c>
      <x:c r="Q88" s="13" t="str">
        <x:v>仅本人访问；高风险操作重新认证；Service Role仅后端</x:v>
      </x:c>
      <x:c r="R88" s="13" t="str">
        <x:v>账户初始化/赠点/删除/导出均幂等；删除宽限30天；导出24小时</x:v>
      </x:c>
    </x:row>
    <x:row r="89" ht="68" customHeight="1">
      <x:c r="A89" s="13" t="str">
        <x:v>第 1 期</x:v>
      </x:c>
      <x:c r="B89" s="13" t="str">
        <x:v>2. 图标设计与生成</x:v>
      </x:c>
      <x:c r="C89" s="13" t="str">
        <x:v>GEN-001/006</x:v>
      </x:c>
      <x:c r="D89" s="13" t="str">
        <x:v>多主体输入与草稿</x:v>
      </x:c>
      <x:c r="E89" s="13" t="str">
        <x:v>FE-CREATE-SUBJECT-01</x:v>
      </x:c>
      <x:c r="F89" s="13" t="str">
        <x:v>前端</x:v>
      </x:c>
      <x:c r="G89" s="13" t="str">
        <x:v>建立创建页主体编辑区路由与页面边界</x:v>
      </x:c>
      <x:c r="H89" s="13" t="str">
        <x:v>创建页主体编辑区路由、页面组件和Metadata</x:v>
      </x:c>
      <x:c r="I89" s="13" t="str">
        <x:v>直接访问路由可渲染；未授权跳转符合PRD；无运行时错误</x:v>
      </x:c>
      <x:c r="J89" s="13" t="str">
        <x:v>—</x:v>
      </x:c>
      <x:c r="K89" s="13" t="str">
        <x:v>待完成</x:v>
      </x:c>
      <x:c r="L89" s="13" t="str">
        <x:v>08-22～08-24</x:v>
      </x:c>
      <x:c r="M89" s="13" t="str">
        <x:v>—</x:v>
      </x:c>
      <x:c r="N89" s="13" t="str">
        <x:v>job/subject/variant/asset均为UUID；创建请求带idempotency_key；记录设置/Skill/模型版本</x:v>
      </x:c>
      <x:c r="O89" s="13" t="str">
        <x:v>job queued/processing/completed/partial/failed；variant queued/processing/completed/failed</x:v>
      </x:c>
      <x:c r="P89" s="13" t="str">
        <x:v>1–20主体、余额不足、内容拦截、超时、部分成功、刷新恢复</x:v>
      </x:c>
      <x:c r="Q89" s="13" t="str">
        <x:v>仅本人读任务；Worker服务端权限；模型密钥不下发</x:v>
      </x:c>
      <x:c r="R89" s="13" t="str">
        <x:v>建任务+扣点同事务；每用户1个活动任务；重投跳过完成variant；资产30天</x:v>
      </x:c>
    </x:row>
    <x:row r="90" ht="68" customHeight="1">
      <x:c r="A90" s="13" t="str">
        <x:v>第 1 期</x:v>
      </x:c>
      <x:c r="B90" s="13" t="str">
        <x:v>2. 图标设计与生成</x:v>
      </x:c>
      <x:c r="C90" s="13" t="str">
        <x:v>GEN-001/006</x:v>
      </x:c>
      <x:c r="D90" s="13" t="str">
        <x:v>多主体输入与草稿</x:v>
      </x:c>
      <x:c r="E90" s="13" t="str">
        <x:v>FE-CREATE-SUBJECT-02</x:v>
      </x:c>
      <x:c r="F90" s="13" t="str">
        <x:v>前端</x:v>
      </x:c>
      <x:c r="G90" s="13" t="str">
        <x:v>定义创建页主体编辑区页面状态模型</x:v>
      </x:c>
      <x:c r="H90" s="13" t="str">
        <x:v>页面状态类型与初始化逻辑</x:v>
      </x:c>
      <x:c r="I90" s="13" t="str">
        <x:v>每个状态只有一个含义；刷新后可恢复服务端状态</x:v>
      </x:c>
      <x:c r="J90" s="13" t="str">
        <x:v>FE-CREATE-SUBJECT-01</x:v>
      </x:c>
      <x:c r="K90" s="13" t="str">
        <x:v>待完成</x:v>
      </x:c>
      <x:c r="L90" s="13" t="str">
        <x:v>08-22～08-24</x:v>
      </x:c>
      <x:c r="M90" s="13" t="str">
        <x:v>—</x:v>
      </x:c>
      <x:c r="N90" s="13" t="str">
        <x:v>job/subject/variant/asset均为UUID；创建请求带idempotency_key；记录设置/Skill/模型版本</x:v>
      </x:c>
      <x:c r="O90" s="13" t="str">
        <x:v>job queued/processing/completed/partial/failed；variant queued/processing/completed/failed</x:v>
      </x:c>
      <x:c r="P90" s="13" t="str">
        <x:v>1–20主体、余额不足、内容拦截、超时、部分成功、刷新恢复</x:v>
      </x:c>
      <x:c r="Q90" s="13" t="str">
        <x:v>仅本人读任务；Worker服务端权限；模型密钥不下发</x:v>
      </x:c>
      <x:c r="R90" s="13" t="str">
        <x:v>建任务+扣点同事务；每用户1个活动任务；重投跳过完成variant；资产30天</x:v>
      </x:c>
    </x:row>
    <x:row r="91" ht="68" customHeight="1">
      <x:c r="A91" s="13" t="str">
        <x:v>第 1 期</x:v>
      </x:c>
      <x:c r="B91" s="13" t="str">
        <x:v>2. 图标设计与生成</x:v>
      </x:c>
      <x:c r="C91" s="13" t="str">
        <x:v>GEN-001/006</x:v>
      </x:c>
      <x:c r="D91" s="13" t="str">
        <x:v>多主体输入与草稿</x:v>
      </x:c>
      <x:c r="E91" s="13" t="str">
        <x:v>FE-CREATE-SUBJECT-03</x:v>
      </x:c>
      <x:c r="F91" s="13" t="str">
        <x:v>前端</x:v>
      </x:c>
      <x:c r="G91" s="13" t="str">
        <x:v>实现新增主体</x:v>
      </x:c>
      <x:c r="H91" s="13" t="str">
        <x:v>新增空主体行</x:v>
      </x:c>
      <x:c r="I91" s="13" t="str">
        <x:v>最多20个；新增后焦点正确</x:v>
      </x:c>
      <x:c r="J91" s="13" t="str">
        <x:v>—</x:v>
      </x:c>
      <x:c r="K91" s="13" t="str">
        <x:v>待完成</x:v>
      </x:c>
      <x:c r="L91" s="13" t="str">
        <x:v>08-22～08-24</x:v>
      </x:c>
      <x:c r="M91" s="13" t="str">
        <x:v>—</x:v>
      </x:c>
      <x:c r="N91" s="13" t="str">
        <x:v>job/subject/variant/asset均为UUID；创建请求带idempotency_key；记录设置/Skill/模型版本</x:v>
      </x:c>
      <x:c r="O91" s="13" t="str">
        <x:v>job queued/processing/completed/partial/failed；variant queued/processing/completed/failed</x:v>
      </x:c>
      <x:c r="P91" s="13" t="str">
        <x:v>1–20主体、余额不足、内容拦截、超时、部分成功、刷新恢复</x:v>
      </x:c>
      <x:c r="Q91" s="13" t="str">
        <x:v>仅本人读任务；Worker服务端权限；模型密钥不下发</x:v>
      </x:c>
      <x:c r="R91" s="13" t="str">
        <x:v>建任务+扣点同事务；每用户1个活动任务；重投跳过完成variant；资产30天</x:v>
      </x:c>
    </x:row>
    <x:row r="92" ht="68" customHeight="1">
      <x:c r="A92" s="13" t="str">
        <x:v>第 1 期</x:v>
      </x:c>
      <x:c r="B92" s="13" t="str">
        <x:v>2. 图标设计与生成</x:v>
      </x:c>
      <x:c r="C92" s="13" t="str">
        <x:v>GEN-001/006</x:v>
      </x:c>
      <x:c r="D92" s="13" t="str">
        <x:v>多主体输入与草稿</x:v>
      </x:c>
      <x:c r="E92" s="13" t="str">
        <x:v>FE-CREATE-SUBJECT-04</x:v>
      </x:c>
      <x:c r="F92" s="13" t="str">
        <x:v>前端</x:v>
      </x:c>
      <x:c r="G92" s="13" t="str">
        <x:v>实现删除主体</x:v>
      </x:c>
      <x:c r="H92" s="13" t="str">
        <x:v>删除指定主体</x:v>
      </x:c>
      <x:c r="I92" s="13" t="str">
        <x:v>至少保留1个；误删前确认策略明确</x:v>
      </x:c>
      <x:c r="J92" s="13" t="str">
        <x:v>—</x:v>
      </x:c>
      <x:c r="K92" s="13" t="str">
        <x:v>待完成</x:v>
      </x:c>
      <x:c r="L92" s="13" t="str">
        <x:v>08-22～08-24</x:v>
      </x:c>
      <x:c r="M92" s="13" t="str">
        <x:v>—</x:v>
      </x:c>
      <x:c r="N92" s="13" t="str">
        <x:v>job/subject/variant/asset均为UUID；创建请求带idempotency_key；记录设置/Skill/模型版本</x:v>
      </x:c>
      <x:c r="O92" s="13" t="str">
        <x:v>job queued/processing/completed/partial/failed；variant queued/processing/completed/failed</x:v>
      </x:c>
      <x:c r="P92" s="13" t="str">
        <x:v>1–20主体、余额不足、内容拦截、超时、部分成功、刷新恢复</x:v>
      </x:c>
      <x:c r="Q92" s="13" t="str">
        <x:v>仅本人读任务；Worker服务端权限；模型密钥不下发</x:v>
      </x:c>
      <x:c r="R92" s="13" t="str">
        <x:v>建任务+扣点同事务；每用户1个活动任务；重投跳过完成variant；资产30天</x:v>
      </x:c>
    </x:row>
    <x:row r="93" ht="68" customHeight="1">
      <x:c r="A93" s="13" t="str">
        <x:v>第 1 期</x:v>
      </x:c>
      <x:c r="B93" s="13" t="str">
        <x:v>2. 图标设计与生成</x:v>
      </x:c>
      <x:c r="C93" s="13" t="str">
        <x:v>GEN-001/006</x:v>
      </x:c>
      <x:c r="D93" s="13" t="str">
        <x:v>多主体输入与草稿</x:v>
      </x:c>
      <x:c r="E93" s="13" t="str">
        <x:v>FE-CREATE-SUBJECT-05</x:v>
      </x:c>
      <x:c r="F93" s="13" t="str">
        <x:v>前端</x:v>
      </x:c>
      <x:c r="G93" s="13" t="str">
        <x:v>实现主体排序</x:v>
      </x:c>
      <x:c r="H93" s="13" t="str">
        <x:v>上移/下移或拖拽</x:v>
      </x:c>
      <x:c r="I93" s="13" t="str">
        <x:v>clientId保持稳定</x:v>
      </x:c>
      <x:c r="J93" s="13" t="str">
        <x:v>—</x:v>
      </x:c>
      <x:c r="K93" s="13" t="str">
        <x:v>待完成</x:v>
      </x:c>
      <x:c r="L93" s="13" t="str">
        <x:v>08-22～08-24</x:v>
      </x:c>
      <x:c r="M93" s="13" t="str">
        <x:v>—</x:v>
      </x:c>
      <x:c r="N93" s="13" t="str">
        <x:v>job/subject/variant/asset均为UUID；创建请求带idempotency_key；记录设置/Skill/模型版本</x:v>
      </x:c>
      <x:c r="O93" s="13" t="str">
        <x:v>job queued/processing/completed/partial/failed；variant queued/processing/completed/failed</x:v>
      </x:c>
      <x:c r="P93" s="13" t="str">
        <x:v>1–20主体、余额不足、内容拦截、超时、部分成功、刷新恢复</x:v>
      </x:c>
      <x:c r="Q93" s="13" t="str">
        <x:v>仅本人读任务；Worker服务端权限；模型密钥不下发</x:v>
      </x:c>
      <x:c r="R93" s="13" t="str">
        <x:v>建任务+扣点同事务；每用户1个活动任务；重投跳过完成variant；资产30天</x:v>
      </x:c>
    </x:row>
    <x:row r="94" ht="68" customHeight="1">
      <x:c r="A94" s="13" t="str">
        <x:v>第 1 期</x:v>
      </x:c>
      <x:c r="B94" s="13" t="str">
        <x:v>2. 图标设计与生成</x:v>
      </x:c>
      <x:c r="C94" s="13" t="str">
        <x:v>GEN-001/006</x:v>
      </x:c>
      <x:c r="D94" s="13" t="str">
        <x:v>多主体输入与草稿</x:v>
      </x:c>
      <x:c r="E94" s="13" t="str">
        <x:v>FE-CREATE-SUBJECT-06</x:v>
      </x:c>
      <x:c r="F94" s="13" t="str">
        <x:v>前端</x:v>
      </x:c>
      <x:c r="G94" s="13" t="str">
        <x:v>实现批量粘贴解析</x:v>
      </x:c>
      <x:c r="H94" s="13" t="str">
        <x:v>逐行转换为主体</x:v>
      </x:c>
      <x:c r="I94" s="13" t="str">
        <x:v>空行去除；超限明确提示</x:v>
      </x:c>
      <x:c r="J94" s="13" t="str">
        <x:v>—</x:v>
      </x:c>
      <x:c r="K94" s="13" t="str">
        <x:v>待完成</x:v>
      </x:c>
      <x:c r="L94" s="13" t="str">
        <x:v>08-22～08-24</x:v>
      </x:c>
      <x:c r="M94" s="13" t="str">
        <x:v>—</x:v>
      </x:c>
      <x:c r="N94" s="13" t="str">
        <x:v>job/subject/variant/asset均为UUID；创建请求带idempotency_key；记录设置/Skill/模型版本</x:v>
      </x:c>
      <x:c r="O94" s="13" t="str">
        <x:v>job queued/processing/completed/partial/failed；variant queued/processing/completed/failed</x:v>
      </x:c>
      <x:c r="P94" s="13" t="str">
        <x:v>1–20主体、余额不足、内容拦截、超时、部分成功、刷新恢复</x:v>
      </x:c>
      <x:c r="Q94" s="13" t="str">
        <x:v>仅本人读任务；Worker服务端权限；模型密钥不下发</x:v>
      </x:c>
      <x:c r="R94" s="13" t="str">
        <x:v>建任务+扣点同事务；每用户1个活动任务；重投跳过完成variant；资产30天</x:v>
      </x:c>
    </x:row>
    <x:row r="95" ht="68" customHeight="1">
      <x:c r="A95" s="13" t="str">
        <x:v>第 1 期</x:v>
      </x:c>
      <x:c r="B95" s="13" t="str">
        <x:v>2. 图标设计与生成</x:v>
      </x:c>
      <x:c r="C95" s="13" t="str">
        <x:v>GEN-001/006</x:v>
      </x:c>
      <x:c r="D95" s="13" t="str">
        <x:v>多主体输入与草稿</x:v>
      </x:c>
      <x:c r="E95" s="13" t="str">
        <x:v>FE-CREATE-SUBJECT-07</x:v>
      </x:c>
      <x:c r="F95" s="13" t="str">
        <x:v>前端</x:v>
      </x:c>
      <x:c r="G95" s="13" t="str">
        <x:v>实现名称和描述校验</x:v>
      </x:c>
      <x:c r="H95" s="13" t="str">
        <x:v>name 1–40、description 2–300</x:v>
      </x:c>
      <x:c r="I95" s="13" t="str">
        <x:v>逐主体定位错误</x:v>
      </x:c>
      <x:c r="J95" s="13" t="str">
        <x:v>—</x:v>
      </x:c>
      <x:c r="K95" s="13" t="str">
        <x:v>待完成</x:v>
      </x:c>
      <x:c r="L95" s="13" t="str">
        <x:v>08-22～08-24</x:v>
      </x:c>
      <x:c r="M95" s="13" t="str">
        <x:v>—</x:v>
      </x:c>
      <x:c r="N95" s="13" t="str">
        <x:v>job/subject/variant/asset均为UUID；创建请求带idempotency_key；记录设置/Skill/模型版本</x:v>
      </x:c>
      <x:c r="O95" s="13" t="str">
        <x:v>job queued/processing/completed/partial/failed；variant queued/processing/completed/failed</x:v>
      </x:c>
      <x:c r="P95" s="13" t="str">
        <x:v>1–20主体、余额不足、内容拦截、超时、部分成功、刷新恢复</x:v>
      </x:c>
      <x:c r="Q95" s="13" t="str">
        <x:v>仅本人读任务；Worker服务端权限；模型密钥不下发</x:v>
      </x:c>
      <x:c r="R95" s="13" t="str">
        <x:v>建任务+扣点同事务；每用户1个活动任务；重投跳过完成variant；资产30天</x:v>
      </x:c>
    </x:row>
    <x:row r="96" ht="68" customHeight="1">
      <x:c r="A96" s="13" t="str">
        <x:v>第 1 期</x:v>
      </x:c>
      <x:c r="B96" s="13" t="str">
        <x:v>2. 图标设计与生成</x:v>
      </x:c>
      <x:c r="C96" s="13" t="str">
        <x:v>GEN-001/006</x:v>
      </x:c>
      <x:c r="D96" s="13" t="str">
        <x:v>多主体输入与草稿</x:v>
      </x:c>
      <x:c r="E96" s="13" t="str">
        <x:v>FE-CREATE-SUBJECT-08</x:v>
      </x:c>
      <x:c r="F96" s="13" t="str">
        <x:v>前端</x:v>
      </x:c>
      <x:c r="G96" s="13" t="str">
        <x:v>实现本地草稿保存</x:v>
      </x:c>
      <x:c r="H96" s="13" t="str">
        <x:v>版本化草稿结构</x:v>
      </x:c>
      <x:c r="I96" s="13" t="str">
        <x:v>刷新恢复；提交成功后按规则清理</x:v>
      </x:c>
      <x:c r="J96" s="13" t="str">
        <x:v>—</x:v>
      </x:c>
      <x:c r="K96" s="13" t="str">
        <x:v>待完成</x:v>
      </x:c>
      <x:c r="L96" s="13" t="str">
        <x:v>08-22～08-24</x:v>
      </x:c>
      <x:c r="M96" s="13" t="str">
        <x:v>—</x:v>
      </x:c>
      <x:c r="N96" s="13" t="str">
        <x:v>job/subject/variant/asset均为UUID；创建请求带idempotency_key；记录设置/Skill/模型版本</x:v>
      </x:c>
      <x:c r="O96" s="13" t="str">
        <x:v>job queued/processing/completed/partial/failed；variant queued/processing/completed/failed</x:v>
      </x:c>
      <x:c r="P96" s="13" t="str">
        <x:v>1–20主体、余额不足、内容拦截、超时、部分成功、刷新恢复</x:v>
      </x:c>
      <x:c r="Q96" s="13" t="str">
        <x:v>仅本人读任务；Worker服务端权限；模型密钥不下发</x:v>
      </x:c>
      <x:c r="R96" s="13" t="str">
        <x:v>建任务+扣点同事务；每用户1个活动任务；重投跳过完成variant；资产30天</x:v>
      </x:c>
    </x:row>
    <x:row r="97" ht="68" customHeight="1">
      <x:c r="A97" s="13" t="str">
        <x:v>第 1 期</x:v>
      </x:c>
      <x:c r="B97" s="13" t="str">
        <x:v>2. 图标设计与生成</x:v>
      </x:c>
      <x:c r="C97" s="13" t="str">
        <x:v>GEN-001/006</x:v>
      </x:c>
      <x:c r="D97" s="13" t="str">
        <x:v>多主体输入与草稿</x:v>
      </x:c>
      <x:c r="E97" s="13" t="str">
        <x:v>FE-CREATE-SUBJECT-09</x:v>
      </x:c>
      <x:c r="F97" s="13" t="str">
        <x:v>前端</x:v>
      </x:c>
      <x:c r="G97" s="13" t="str">
        <x:v>接入创建页主体编辑区服务端接口</x:v>
      </x:c>
      <x:c r="H97" s="13" t="str">
        <x:v>本地草稿+generation schema客户端适配器</x:v>
      </x:c>
      <x:c r="I97" s="13" t="str">
        <x:v>请求字段与共享Schema一致；不在组件内拼装不受控请求</x:v>
      </x:c>
      <x:c r="J97" s="13" t="str">
        <x:v>FE-CREATE-SUBJECT-02</x:v>
      </x:c>
      <x:c r="K97" s="13" t="str">
        <x:v>待完成</x:v>
      </x:c>
      <x:c r="L97" s="13" t="str">
        <x:v>08-22～08-24</x:v>
      </x:c>
      <x:c r="M97" s="13" t="str">
        <x:v>—</x:v>
      </x:c>
      <x:c r="N97" s="13" t="str">
        <x:v>job/subject/variant/asset均为UUID；创建请求带idempotency_key；记录设置/Skill/模型版本</x:v>
      </x:c>
      <x:c r="O97" s="13" t="str">
        <x:v>job queued/processing/completed/partial/failed；variant queued/processing/completed/failed</x:v>
      </x:c>
      <x:c r="P97" s="13" t="str">
        <x:v>1–20主体、余额不足、内容拦截、超时、部分成功、刷新恢复</x:v>
      </x:c>
      <x:c r="Q97" s="13" t="str">
        <x:v>仅本人读任务；Worker服务端权限；模型密钥不下发</x:v>
      </x:c>
      <x:c r="R97" s="13" t="str">
        <x:v>建任务+扣点同事务；每用户1个活动任务；重投跳过完成variant；资产30天</x:v>
      </x:c>
    </x:row>
    <x:row r="98" ht="68" customHeight="1">
      <x:c r="A98" s="13" t="str">
        <x:v>第 1 期</x:v>
      </x:c>
      <x:c r="B98" s="13" t="str">
        <x:v>2. 图标设计与生成</x:v>
      </x:c>
      <x:c r="C98" s="13" t="str">
        <x:v>GEN-001/006</x:v>
      </x:c>
      <x:c r="D98" s="13" t="str">
        <x:v>多主体输入与草稿</x:v>
      </x:c>
      <x:c r="E98" s="13" t="str">
        <x:v>FE-CREATE-SUBJECT-10</x:v>
      </x:c>
      <x:c r="F98" s="13" t="str">
        <x:v>前端</x:v>
      </x:c>
      <x:c r="G98" s="13" t="str">
        <x:v>实现创建页主体编辑区加载状态</x:v>
      </x:c>
      <x:c r="H98" s="13" t="str">
        <x:v>骨架屏或进度反馈</x:v>
      </x:c>
      <x:c r="I98" s="13" t="str">
        <x:v>请求期间有可感知反馈；重复操作被禁用</x:v>
      </x:c>
      <x:c r="J98" s="13" t="str">
        <x:v>FE-CREATE-SUBJECT-02</x:v>
      </x:c>
      <x:c r="K98" s="13" t="str">
        <x:v>待完成</x:v>
      </x:c>
      <x:c r="L98" s="13" t="str">
        <x:v>08-22～08-24</x:v>
      </x:c>
      <x:c r="M98" s="13" t="str">
        <x:v>—</x:v>
      </x:c>
      <x:c r="N98" s="13" t="str">
        <x:v>job/subject/variant/asset均为UUID；创建请求带idempotency_key；记录设置/Skill/模型版本</x:v>
      </x:c>
      <x:c r="O98" s="13" t="str">
        <x:v>job queued/processing/completed/partial/failed；variant queued/processing/completed/failed</x:v>
      </x:c>
      <x:c r="P98" s="13" t="str">
        <x:v>1–20主体、余额不足、内容拦截、超时、部分成功、刷新恢复</x:v>
      </x:c>
      <x:c r="Q98" s="13" t="str">
        <x:v>仅本人读任务；Worker服务端权限；模型密钥不下发</x:v>
      </x:c>
      <x:c r="R98" s="13" t="str">
        <x:v>建任务+扣点同事务；每用户1个活动任务；重投跳过完成variant；资产30天</x:v>
      </x:c>
    </x:row>
    <x:row r="99" ht="68" customHeight="1">
      <x:c r="A99" s="13" t="str">
        <x:v>第 1 期</x:v>
      </x:c>
      <x:c r="B99" s="13" t="str">
        <x:v>2. 图标设计与生成</x:v>
      </x:c>
      <x:c r="C99" s="13" t="str">
        <x:v>GEN-001/006</x:v>
      </x:c>
      <x:c r="D99" s="13" t="str">
        <x:v>多主体输入与草稿</x:v>
      </x:c>
      <x:c r="E99" s="13" t="str">
        <x:v>FE-CREATE-SUBJECT-11</x:v>
      </x:c>
      <x:c r="F99" s="13" t="str">
        <x:v>前端</x:v>
      </x:c>
      <x:c r="G99" s="13" t="str">
        <x:v>实现创建页主体编辑区错误映射</x:v>
      </x:c>
      <x:c r="H99" s="13" t="str">
        <x:v>稳定错误码到双语用户文案的映射</x:v>
      </x:c>
      <x:c r="I99" s="13" t="str">
        <x:v>业务错误可恢复；未知错误不泄露内部信息</x:v>
      </x:c>
      <x:c r="J99" s="13" t="str">
        <x:v>FE-CREATE-SUBJECT-02</x:v>
      </x:c>
      <x:c r="K99" s="13" t="str">
        <x:v>待完成</x:v>
      </x:c>
      <x:c r="L99" s="13" t="str">
        <x:v>08-22～08-24</x:v>
      </x:c>
      <x:c r="M99" s="13" t="str">
        <x:v>—</x:v>
      </x:c>
      <x:c r="N99" s="13" t="str">
        <x:v>job/subject/variant/asset均为UUID；创建请求带idempotency_key；记录设置/Skill/模型版本</x:v>
      </x:c>
      <x:c r="O99" s="13" t="str">
        <x:v>job queued/processing/completed/partial/failed；variant queued/processing/completed/failed</x:v>
      </x:c>
      <x:c r="P99" s="13" t="str">
        <x:v>1–20主体、余额不足、内容拦截、超时、部分成功、刷新恢复</x:v>
      </x:c>
      <x:c r="Q99" s="13" t="str">
        <x:v>仅本人读任务；Worker服务端权限；模型密钥不下发</x:v>
      </x:c>
      <x:c r="R99" s="13" t="str">
        <x:v>建任务+扣点同事务；每用户1个活动任务；重投跳过完成variant；资产30天</x:v>
      </x:c>
    </x:row>
    <x:row r="100" ht="68" customHeight="1">
      <x:c r="A100" s="13" t="str">
        <x:v>第 1 期</x:v>
      </x:c>
      <x:c r="B100" s="13" t="str">
        <x:v>2. 图标设计与生成</x:v>
      </x:c>
      <x:c r="C100" s="13" t="str">
        <x:v>GEN-001/006</x:v>
      </x:c>
      <x:c r="D100" s="13" t="str">
        <x:v>多主体输入与草稿</x:v>
      </x:c>
      <x:c r="E100" s="13" t="str">
        <x:v>FE-CREATE-SUBJECT-12</x:v>
      </x:c>
      <x:c r="F100" s="13" t="str">
        <x:v>前端</x:v>
      </x:c>
      <x:c r="G100" s="13" t="str">
        <x:v>完成创建页主体编辑区中英文文案</x:v>
      </x:c>
      <x:c r="H100" s="13" t="str">
        <x:v>en/zh词条</x:v>
      </x:c>
      <x:c r="I100" s="13" t="str">
        <x:v>切换语言后字段含义、按钮和错误保持一致</x:v>
      </x:c>
      <x:c r="J100" s="13" t="str">
        <x:v>—</x:v>
      </x:c>
      <x:c r="K100" s="13" t="str">
        <x:v>待完成</x:v>
      </x:c>
      <x:c r="L100" s="13" t="str">
        <x:v>08-22～08-24</x:v>
      </x:c>
      <x:c r="M100" s="13" t="str">
        <x:v>—</x:v>
      </x:c>
      <x:c r="N100" s="13" t="str">
        <x:v>job/subject/variant/asset均为UUID；创建请求带idempotency_key；记录设置/Skill/模型版本</x:v>
      </x:c>
      <x:c r="O100" s="13" t="str">
        <x:v>job queued/processing/completed/partial/failed；variant queued/processing/completed/failed</x:v>
      </x:c>
      <x:c r="P100" s="13" t="str">
        <x:v>1–20主体、余额不足、内容拦截、超时、部分成功、刷新恢复</x:v>
      </x:c>
      <x:c r="Q100" s="13" t="str">
        <x:v>仅本人读任务；Worker服务端权限；模型密钥不下发</x:v>
      </x:c>
      <x:c r="R100" s="13" t="str">
        <x:v>建任务+扣点同事务；每用户1个活动任务；重投跳过完成variant；资产30天</x:v>
      </x:c>
    </x:row>
    <x:row r="101" ht="68" customHeight="1">
      <x:c r="A101" s="13" t="str">
        <x:v>第 1 期</x:v>
      </x:c>
      <x:c r="B101" s="13" t="str">
        <x:v>2. 图标设计与生成</x:v>
      </x:c>
      <x:c r="C101" s="13" t="str">
        <x:v>GEN-001/006</x:v>
      </x:c>
      <x:c r="D101" s="13" t="str">
        <x:v>多主体输入与草稿</x:v>
      </x:c>
      <x:c r="E101" s="13" t="str">
        <x:v>FE-CREATE-SUBJECT-13</x:v>
      </x:c>
      <x:c r="F101" s="13" t="str">
        <x:v>前端</x:v>
      </x:c>
      <x:c r="G101" s="13" t="str">
        <x:v>完成创建页主体编辑区键盘与屏幕阅读器支持</x:v>
      </x:c>
      <x:c r="H101" s="13" t="str">
        <x:v>语义标签、焦点顺序、aria-live</x:v>
      </x:c>
      <x:c r="I101" s="13" t="str">
        <x:v>仅键盘可完成主流程；错误与状态可被读出</x:v>
      </x:c>
      <x:c r="J101" s="13" t="str">
        <x:v>—</x:v>
      </x:c>
      <x:c r="K101" s="13" t="str">
        <x:v>待完成</x:v>
      </x:c>
      <x:c r="L101" s="13" t="str">
        <x:v>08-22～08-24</x:v>
      </x:c>
      <x:c r="M101" s="13" t="str">
        <x:v>—</x:v>
      </x:c>
      <x:c r="N101" s="13" t="str">
        <x:v>job/subject/variant/asset均为UUID；创建请求带idempotency_key；记录设置/Skill/模型版本</x:v>
      </x:c>
      <x:c r="O101" s="13" t="str">
        <x:v>job queued/processing/completed/partial/failed；variant queued/processing/completed/failed</x:v>
      </x:c>
      <x:c r="P101" s="13" t="str">
        <x:v>1–20主体、余额不足、内容拦截、超时、部分成功、刷新恢复</x:v>
      </x:c>
      <x:c r="Q101" s="13" t="str">
        <x:v>仅本人读任务；Worker服务端权限；模型密钥不下发</x:v>
      </x:c>
      <x:c r="R101" s="13" t="str">
        <x:v>建任务+扣点同事务；每用户1个活动任务；重投跳过完成variant；资产30天</x:v>
      </x:c>
    </x:row>
    <x:row r="102" ht="68" customHeight="1">
      <x:c r="A102" s="13" t="str">
        <x:v>第 1 期</x:v>
      </x:c>
      <x:c r="B102" s="13" t="str">
        <x:v>2. 图标设计与生成</x:v>
      </x:c>
      <x:c r="C102" s="13" t="str">
        <x:v>GEN-001/006</x:v>
      </x:c>
      <x:c r="D102" s="13" t="str">
        <x:v>多主体输入与草稿</x:v>
      </x:c>
      <x:c r="E102" s="13" t="str">
        <x:v>FE-CREATE-SUBJECT-14</x:v>
      </x:c>
      <x:c r="F102" s="13" t="str">
        <x:v>前端</x:v>
      </x:c>
      <x:c r="G102" s="13" t="str">
        <x:v>编写创建页主体编辑区组件测试</x:v>
      </x:c>
      <x:c r="H102" s="13" t="str">
        <x:v>组件与交互测试</x:v>
      </x:c>
      <x:c r="I102" s="13" t="str">
        <x:v>覆盖成功、校验失败、服务端失败和重复点击</x:v>
      </x:c>
      <x:c r="J102" s="13" t="str">
        <x:v>—</x:v>
      </x:c>
      <x:c r="K102" s="13" t="str">
        <x:v>待完成</x:v>
      </x:c>
      <x:c r="L102" s="13" t="str">
        <x:v>08-22～08-24</x:v>
      </x:c>
      <x:c r="M102" s="13" t="str">
        <x:v>—</x:v>
      </x:c>
      <x:c r="N102" s="13" t="str">
        <x:v>job/subject/variant/asset均为UUID；创建请求带idempotency_key；记录设置/Skill/模型版本</x:v>
      </x:c>
      <x:c r="O102" s="13" t="str">
        <x:v>job queued/processing/completed/partial/failed；variant queued/processing/completed/failed</x:v>
      </x:c>
      <x:c r="P102" s="13" t="str">
        <x:v>1–20主体、余额不足、内容拦截、超时、部分成功、刷新恢复</x:v>
      </x:c>
      <x:c r="Q102" s="13" t="str">
        <x:v>仅本人读任务；Worker服务端权限；模型密钥不下发</x:v>
      </x:c>
      <x:c r="R102" s="13" t="str">
        <x:v>建任务+扣点同事务；每用户1个活动任务；重投跳过完成variant；资产30天</x:v>
      </x:c>
    </x:row>
    <x:row r="103" ht="68" customHeight="1">
      <x:c r="A103" s="13" t="str">
        <x:v>第 1 期</x:v>
      </x:c>
      <x:c r="B103" s="13" t="str">
        <x:v>2. 图标设计与生成</x:v>
      </x:c>
      <x:c r="C103" s="13" t="str">
        <x:v>GEN-002</x:v>
      </x:c>
      <x:c r="D103" s="13" t="str">
        <x:v>主体颜色</x:v>
      </x:c>
      <x:c r="E103" s="13" t="str">
        <x:v>FE-CREATE-COLOR-01</x:v>
      </x:c>
      <x:c r="F103" s="13" t="str">
        <x:v>前端</x:v>
      </x:c>
      <x:c r="G103" s="13" t="str">
        <x:v>建立主体颜色设置路由与页面边界</x:v>
      </x:c>
      <x:c r="H103" s="13" t="str">
        <x:v>主体颜色设置路由、页面组件和Metadata</x:v>
      </x:c>
      <x:c r="I103" s="13" t="str">
        <x:v>直接访问路由可渲染；未授权跳转符合PRD；无运行时错误</x:v>
      </x:c>
      <x:c r="J103" s="13" t="str">
        <x:v>—</x:v>
      </x:c>
      <x:c r="K103" s="13" t="str">
        <x:v>待完成</x:v>
      </x:c>
      <x:c r="L103" s="13" t="str">
        <x:v>08-23～08-25</x:v>
      </x:c>
      <x:c r="M103" s="13" t="str">
        <x:v>—</x:v>
      </x:c>
      <x:c r="N103" s="13" t="str">
        <x:v>job/subject/variant/asset均为UUID；创建请求带idempotency_key；记录设置/Skill/模型版本</x:v>
      </x:c>
      <x:c r="O103" s="13" t="str">
        <x:v>job queued/processing/completed/partial/failed；variant queued/processing/completed/failed</x:v>
      </x:c>
      <x:c r="P103" s="13" t="str">
        <x:v>1–20主体、余额不足、内容拦截、超时、部分成功、刷新恢复</x:v>
      </x:c>
      <x:c r="Q103" s="13" t="str">
        <x:v>仅本人读任务；Worker服务端权限；模型密钥不下发</x:v>
      </x:c>
      <x:c r="R103" s="13" t="str">
        <x:v>建任务+扣点同事务；每用户1个活动任务；重投跳过完成variant；资产30天</x:v>
      </x:c>
    </x:row>
    <x:row r="104" ht="68" customHeight="1">
      <x:c r="A104" s="13" t="str">
        <x:v>第 1 期</x:v>
      </x:c>
      <x:c r="B104" s="13" t="str">
        <x:v>2. 图标设计与生成</x:v>
      </x:c>
      <x:c r="C104" s="13" t="str">
        <x:v>GEN-002</x:v>
      </x:c>
      <x:c r="D104" s="13" t="str">
        <x:v>主体颜色</x:v>
      </x:c>
      <x:c r="E104" s="13" t="str">
        <x:v>FE-CREATE-COLOR-02</x:v>
      </x:c>
      <x:c r="F104" s="13" t="str">
        <x:v>前端</x:v>
      </x:c>
      <x:c r="G104" s="13" t="str">
        <x:v>定义主体颜色设置页面状态模型</x:v>
      </x:c>
      <x:c r="H104" s="13" t="str">
        <x:v>页面状态类型与初始化逻辑</x:v>
      </x:c>
      <x:c r="I104" s="13" t="str">
        <x:v>每个状态只有一个含义；刷新后可恢复服务端状态</x:v>
      </x:c>
      <x:c r="J104" s="13" t="str">
        <x:v>FE-CREATE-COLOR-01</x:v>
      </x:c>
      <x:c r="K104" s="13" t="str">
        <x:v>待完成</x:v>
      </x:c>
      <x:c r="L104" s="13" t="str">
        <x:v>08-23～08-25</x:v>
      </x:c>
      <x:c r="M104" s="13" t="str">
        <x:v>—</x:v>
      </x:c>
      <x:c r="N104" s="13" t="str">
        <x:v>job/subject/variant/asset均为UUID；创建请求带idempotency_key；记录设置/Skill/模型版本</x:v>
      </x:c>
      <x:c r="O104" s="13" t="str">
        <x:v>job queued/processing/completed/partial/failed；variant queued/processing/completed/failed</x:v>
      </x:c>
      <x:c r="P104" s="13" t="str">
        <x:v>1–20主体、余额不足、内容拦截、超时、部分成功、刷新恢复</x:v>
      </x:c>
      <x:c r="Q104" s="13" t="str">
        <x:v>仅本人读任务；Worker服务端权限；模型密钥不下发</x:v>
      </x:c>
      <x:c r="R104" s="13" t="str">
        <x:v>建任务+扣点同事务；每用户1个活动任务；重投跳过完成variant；资产30天</x:v>
      </x:c>
    </x:row>
    <x:row r="105" ht="68" customHeight="1">
      <x:c r="A105" s="13" t="str">
        <x:v>第 1 期</x:v>
      </x:c>
      <x:c r="B105" s="13" t="str">
        <x:v>2. 图标设计与生成</x:v>
      </x:c>
      <x:c r="C105" s="13" t="str">
        <x:v>GEN-002</x:v>
      </x:c>
      <x:c r="D105" s="13" t="str">
        <x:v>主体颜色</x:v>
      </x:c>
      <x:c r="E105" s="13" t="str">
        <x:v>FE-CREATE-COLOR-03</x:v>
      </x:c>
      <x:c r="F105" s="13" t="str">
        <x:v>前端</x:v>
      </x:c>
      <x:c r="G105" s="13" t="str">
        <x:v>实现纯色模式</x:v>
      </x:c>
      <x:c r="H105" s="13" t="str">
        <x:v>色板和HEX输入</x:v>
      </x:c>
      <x:c r="I105" s="13" t="str">
        <x:v>只提交#RRGGBB</x:v>
      </x:c>
      <x:c r="J105" s="13" t="str">
        <x:v>—</x:v>
      </x:c>
      <x:c r="K105" s="13" t="str">
        <x:v>待完成</x:v>
      </x:c>
      <x:c r="L105" s="13" t="str">
        <x:v>08-23～08-25</x:v>
      </x:c>
      <x:c r="M105" s="13" t="str">
        <x:v>—</x:v>
      </x:c>
      <x:c r="N105" s="13" t="str">
        <x:v>job/subject/variant/asset均为UUID；创建请求带idempotency_key；记录设置/Skill/模型版本</x:v>
      </x:c>
      <x:c r="O105" s="13" t="str">
        <x:v>job queued/processing/completed/partial/failed；variant queued/processing/completed/failed</x:v>
      </x:c>
      <x:c r="P105" s="13" t="str">
        <x:v>1–20主体、余额不足、内容拦截、超时、部分成功、刷新恢复</x:v>
      </x:c>
      <x:c r="Q105" s="13" t="str">
        <x:v>仅本人读任务；Worker服务端权限；模型密钥不下发</x:v>
      </x:c>
      <x:c r="R105" s="13" t="str">
        <x:v>建任务+扣点同事务；每用户1个活动任务；重投跳过完成variant；资产30天</x:v>
      </x:c>
    </x:row>
    <x:row r="106" ht="68" customHeight="1">
      <x:c r="A106" s="13" t="str">
        <x:v>第 1 期</x:v>
      </x:c>
      <x:c r="B106" s="13" t="str">
        <x:v>2. 图标设计与生成</x:v>
      </x:c>
      <x:c r="C106" s="13" t="str">
        <x:v>GEN-002</x:v>
      </x:c>
      <x:c r="D106" s="13" t="str">
        <x:v>主体颜色</x:v>
      </x:c>
      <x:c r="E106" s="13" t="str">
        <x:v>FE-CREATE-COLOR-04</x:v>
      </x:c>
      <x:c r="F106" s="13" t="str">
        <x:v>前端</x:v>
      </x:c>
      <x:c r="G106" s="13" t="str">
        <x:v>实现渐变模式</x:v>
      </x:c>
      <x:c r="H106" s="13" t="str">
        <x:v>两个颜色和方向</x:v>
      </x:c>
      <x:c r="I106" s="13" t="str">
        <x:v>切换模式不提交隐藏字段</x:v>
      </x:c>
      <x:c r="J106" s="13" t="str">
        <x:v>—</x:v>
      </x:c>
      <x:c r="K106" s="13" t="str">
        <x:v>待完成</x:v>
      </x:c>
      <x:c r="L106" s="13" t="str">
        <x:v>08-23～08-25</x:v>
      </x:c>
      <x:c r="M106" s="13" t="str">
        <x:v>—</x:v>
      </x:c>
      <x:c r="N106" s="13" t="str">
        <x:v>job/subject/variant/asset均为UUID；创建请求带idempotency_key；记录设置/Skill/模型版本</x:v>
      </x:c>
      <x:c r="O106" s="13" t="str">
        <x:v>job queued/processing/completed/partial/failed；variant queued/processing/completed/failed</x:v>
      </x:c>
      <x:c r="P106" s="13" t="str">
        <x:v>1–20主体、余额不足、内容拦截、超时、部分成功、刷新恢复</x:v>
      </x:c>
      <x:c r="Q106" s="13" t="str">
        <x:v>仅本人读任务；Worker服务端权限；模型密钥不下发</x:v>
      </x:c>
      <x:c r="R106" s="13" t="str">
        <x:v>建任务+扣点同事务；每用户1个活动任务；重投跳过完成variant；资产30天</x:v>
      </x:c>
    </x:row>
    <x:row r="107" ht="68" customHeight="1">
      <x:c r="A107" s="13" t="str">
        <x:v>第 1 期</x:v>
      </x:c>
      <x:c r="B107" s="13" t="str">
        <x:v>2. 图标设计与生成</x:v>
      </x:c>
      <x:c r="C107" s="13" t="str">
        <x:v>GEN-002</x:v>
      </x:c>
      <x:c r="D107" s="13" t="str">
        <x:v>主体颜色</x:v>
      </x:c>
      <x:c r="E107" s="13" t="str">
        <x:v>FE-CREATE-COLOR-05</x:v>
      </x:c>
      <x:c r="F107" s="13" t="str">
        <x:v>前端</x:v>
      </x:c>
      <x:c r="G107" s="13" t="str">
        <x:v>实现主体颜色预览</x:v>
      </x:c>
      <x:c r="H107" s="13" t="str">
        <x:v>实时预览样式</x:v>
      </x:c>
      <x:c r="I107" s="13" t="str">
        <x:v>颜色变化可感知且有文本值</x:v>
      </x:c>
      <x:c r="J107" s="13" t="str">
        <x:v>—</x:v>
      </x:c>
      <x:c r="K107" s="13" t="str">
        <x:v>待完成</x:v>
      </x:c>
      <x:c r="L107" s="13" t="str">
        <x:v>08-23～08-25</x:v>
      </x:c>
      <x:c r="M107" s="13" t="str">
        <x:v>—</x:v>
      </x:c>
      <x:c r="N107" s="13" t="str">
        <x:v>job/subject/variant/asset均为UUID；创建请求带idempotency_key；记录设置/Skill/模型版本</x:v>
      </x:c>
      <x:c r="O107" s="13" t="str">
        <x:v>job queued/processing/completed/partial/failed；variant queued/processing/completed/failed</x:v>
      </x:c>
      <x:c r="P107" s="13" t="str">
        <x:v>1–20主体、余额不足、内容拦截、超时、部分成功、刷新恢复</x:v>
      </x:c>
      <x:c r="Q107" s="13" t="str">
        <x:v>仅本人读任务；Worker服务端权限；模型密钥不下发</x:v>
      </x:c>
      <x:c r="R107" s="13" t="str">
        <x:v>建任务+扣点同事务；每用户1个活动任务；重投跳过完成variant；资产30天</x:v>
      </x:c>
    </x:row>
    <x:row r="108" ht="68" customHeight="1">
      <x:c r="A108" s="13" t="str">
        <x:v>第 1 期</x:v>
      </x:c>
      <x:c r="B108" s="13" t="str">
        <x:v>2. 图标设计与生成</x:v>
      </x:c>
      <x:c r="C108" s="13" t="str">
        <x:v>GEN-002</x:v>
      </x:c>
      <x:c r="D108" s="13" t="str">
        <x:v>主体颜色</x:v>
      </x:c>
      <x:c r="E108" s="13" t="str">
        <x:v>FE-CREATE-COLOR-06</x:v>
      </x:c>
      <x:c r="F108" s="13" t="str">
        <x:v>前端</x:v>
      </x:c>
      <x:c r="G108" s="13" t="str">
        <x:v>实现单主体颜色覆盖</x:v>
      </x:c>
      <x:c r="H108" s="13" t="str">
        <x:v>override开关和颜色值</x:v>
      </x:c>
      <x:c r="I108" s="13" t="str">
        <x:v>关闭后回退全局颜色</x:v>
      </x:c>
      <x:c r="J108" s="13" t="str">
        <x:v>—</x:v>
      </x:c>
      <x:c r="K108" s="13" t="str">
        <x:v>待完成</x:v>
      </x:c>
      <x:c r="L108" s="13" t="str">
        <x:v>08-23～08-25</x:v>
      </x:c>
      <x:c r="M108" s="13" t="str">
        <x:v>—</x:v>
      </x:c>
      <x:c r="N108" s="13" t="str">
        <x:v>job/subject/variant/asset均为UUID；创建请求带idempotency_key；记录设置/Skill/模型版本</x:v>
      </x:c>
      <x:c r="O108" s="13" t="str">
        <x:v>job queued/processing/completed/partial/failed；variant queued/processing/completed/failed</x:v>
      </x:c>
      <x:c r="P108" s="13" t="str">
        <x:v>1–20主体、余额不足、内容拦截、超时、部分成功、刷新恢复</x:v>
      </x:c>
      <x:c r="Q108" s="13" t="str">
        <x:v>仅本人读任务；Worker服务端权限；模型密钥不下发</x:v>
      </x:c>
      <x:c r="R108" s="13" t="str">
        <x:v>建任务+扣点同事务；每用户1个活动任务；重投跳过完成variant；资产30天</x:v>
      </x:c>
    </x:row>
    <x:row r="109" ht="68" customHeight="1">
      <x:c r="A109" s="13" t="str">
        <x:v>第 1 期</x:v>
      </x:c>
      <x:c r="B109" s="13" t="str">
        <x:v>2. 图标设计与生成</x:v>
      </x:c>
      <x:c r="C109" s="13" t="str">
        <x:v>GEN-002</x:v>
      </x:c>
      <x:c r="D109" s="13" t="str">
        <x:v>主体颜色</x:v>
      </x:c>
      <x:c r="E109" s="13" t="str">
        <x:v>FE-CREATE-COLOR-07</x:v>
      </x:c>
      <x:c r="F109" s="13" t="str">
        <x:v>前端</x:v>
      </x:c>
      <x:c r="G109" s="13" t="str">
        <x:v>接入主体颜色设置服务端接口</x:v>
      </x:c>
      <x:c r="H109" s="13" t="str">
        <x:v>generation schema客户端适配器</x:v>
      </x:c>
      <x:c r="I109" s="13" t="str">
        <x:v>请求字段与共享Schema一致；不在组件内拼装不受控请求</x:v>
      </x:c>
      <x:c r="J109" s="13" t="str">
        <x:v>FE-CREATE-COLOR-02</x:v>
      </x:c>
      <x:c r="K109" s="13" t="str">
        <x:v>待完成</x:v>
      </x:c>
      <x:c r="L109" s="13" t="str">
        <x:v>08-23～08-25</x:v>
      </x:c>
      <x:c r="M109" s="13" t="str">
        <x:v>—</x:v>
      </x:c>
      <x:c r="N109" s="13" t="str">
        <x:v>job/subject/variant/asset均为UUID；创建请求带idempotency_key；记录设置/Skill/模型版本</x:v>
      </x:c>
      <x:c r="O109" s="13" t="str">
        <x:v>job queued/processing/completed/partial/failed；variant queued/processing/completed/failed</x:v>
      </x:c>
      <x:c r="P109" s="13" t="str">
        <x:v>1–20主体、余额不足、内容拦截、超时、部分成功、刷新恢复</x:v>
      </x:c>
      <x:c r="Q109" s="13" t="str">
        <x:v>仅本人读任务；Worker服务端权限；模型密钥不下发</x:v>
      </x:c>
      <x:c r="R109" s="13" t="str">
        <x:v>建任务+扣点同事务；每用户1个活动任务；重投跳过完成variant；资产30天</x:v>
      </x:c>
    </x:row>
    <x:row r="110" ht="68" customHeight="1">
      <x:c r="A110" s="13" t="str">
        <x:v>第 1 期</x:v>
      </x:c>
      <x:c r="B110" s="13" t="str">
        <x:v>2. 图标设计与生成</x:v>
      </x:c>
      <x:c r="C110" s="13" t="str">
        <x:v>GEN-002</x:v>
      </x:c>
      <x:c r="D110" s="13" t="str">
        <x:v>主体颜色</x:v>
      </x:c>
      <x:c r="E110" s="13" t="str">
        <x:v>FE-CREATE-COLOR-08</x:v>
      </x:c>
      <x:c r="F110" s="13" t="str">
        <x:v>前端</x:v>
      </x:c>
      <x:c r="G110" s="13" t="str">
        <x:v>实现主体颜色设置加载状态</x:v>
      </x:c>
      <x:c r="H110" s="13" t="str">
        <x:v>骨架屏或进度反馈</x:v>
      </x:c>
      <x:c r="I110" s="13" t="str">
        <x:v>请求期间有可感知反馈；重复操作被禁用</x:v>
      </x:c>
      <x:c r="J110" s="13" t="str">
        <x:v>FE-CREATE-COLOR-02</x:v>
      </x:c>
      <x:c r="K110" s="13" t="str">
        <x:v>待完成</x:v>
      </x:c>
      <x:c r="L110" s="13" t="str">
        <x:v>08-23～08-25</x:v>
      </x:c>
      <x:c r="M110" s="13" t="str">
        <x:v>—</x:v>
      </x:c>
      <x:c r="N110" s="13" t="str">
        <x:v>job/subject/variant/asset均为UUID；创建请求带idempotency_key；记录设置/Skill/模型版本</x:v>
      </x:c>
      <x:c r="O110" s="13" t="str">
        <x:v>job queued/processing/completed/partial/failed；variant queued/processing/completed/failed</x:v>
      </x:c>
      <x:c r="P110" s="13" t="str">
        <x:v>1–20主体、余额不足、内容拦截、超时、部分成功、刷新恢复</x:v>
      </x:c>
      <x:c r="Q110" s="13" t="str">
        <x:v>仅本人读任务；Worker服务端权限；模型密钥不下发</x:v>
      </x:c>
      <x:c r="R110" s="13" t="str">
        <x:v>建任务+扣点同事务；每用户1个活动任务；重投跳过完成variant；资产30天</x:v>
      </x:c>
    </x:row>
    <x:row r="111" ht="68" customHeight="1">
      <x:c r="A111" s="13" t="str">
        <x:v>第 1 期</x:v>
      </x:c>
      <x:c r="B111" s="13" t="str">
        <x:v>2. 图标设计与生成</x:v>
      </x:c>
      <x:c r="C111" s="13" t="str">
        <x:v>GEN-002</x:v>
      </x:c>
      <x:c r="D111" s="13" t="str">
        <x:v>主体颜色</x:v>
      </x:c>
      <x:c r="E111" s="13" t="str">
        <x:v>FE-CREATE-COLOR-09</x:v>
      </x:c>
      <x:c r="F111" s="13" t="str">
        <x:v>前端</x:v>
      </x:c>
      <x:c r="G111" s="13" t="str">
        <x:v>实现主体颜色设置错误映射</x:v>
      </x:c>
      <x:c r="H111" s="13" t="str">
        <x:v>稳定错误码到双语用户文案的映射</x:v>
      </x:c>
      <x:c r="I111" s="13" t="str">
        <x:v>业务错误可恢复；未知错误不泄露内部信息</x:v>
      </x:c>
      <x:c r="J111" s="13" t="str">
        <x:v>FE-CREATE-COLOR-02</x:v>
      </x:c>
      <x:c r="K111" s="13" t="str">
        <x:v>待完成</x:v>
      </x:c>
      <x:c r="L111" s="13" t="str">
        <x:v>08-23～08-25</x:v>
      </x:c>
      <x:c r="M111" s="13" t="str">
        <x:v>—</x:v>
      </x:c>
      <x:c r="N111" s="13" t="str">
        <x:v>job/subject/variant/asset均为UUID；创建请求带idempotency_key；记录设置/Skill/模型版本</x:v>
      </x:c>
      <x:c r="O111" s="13" t="str">
        <x:v>job queued/processing/completed/partial/failed；variant queued/processing/completed/failed</x:v>
      </x:c>
      <x:c r="P111" s="13" t="str">
        <x:v>1–20主体、余额不足、内容拦截、超时、部分成功、刷新恢复</x:v>
      </x:c>
      <x:c r="Q111" s="13" t="str">
        <x:v>仅本人读任务；Worker服务端权限；模型密钥不下发</x:v>
      </x:c>
      <x:c r="R111" s="13" t="str">
        <x:v>建任务+扣点同事务；每用户1个活动任务；重投跳过完成variant；资产30天</x:v>
      </x:c>
    </x:row>
    <x:row r="112" ht="68" customHeight="1">
      <x:c r="A112" s="13" t="str">
        <x:v>第 1 期</x:v>
      </x:c>
      <x:c r="B112" s="13" t="str">
        <x:v>2. 图标设计与生成</x:v>
      </x:c>
      <x:c r="C112" s="13" t="str">
        <x:v>GEN-002</x:v>
      </x:c>
      <x:c r="D112" s="13" t="str">
        <x:v>主体颜色</x:v>
      </x:c>
      <x:c r="E112" s="13" t="str">
        <x:v>FE-CREATE-COLOR-10</x:v>
      </x:c>
      <x:c r="F112" s="13" t="str">
        <x:v>前端</x:v>
      </x:c>
      <x:c r="G112" s="13" t="str">
        <x:v>完成主体颜色设置中英文文案</x:v>
      </x:c>
      <x:c r="H112" s="13" t="str">
        <x:v>en/zh词条</x:v>
      </x:c>
      <x:c r="I112" s="13" t="str">
        <x:v>切换语言后字段含义、按钮和错误保持一致</x:v>
      </x:c>
      <x:c r="J112" s="13" t="str">
        <x:v>—</x:v>
      </x:c>
      <x:c r="K112" s="13" t="str">
        <x:v>待完成</x:v>
      </x:c>
      <x:c r="L112" s="13" t="str">
        <x:v>08-23～08-25</x:v>
      </x:c>
      <x:c r="M112" s="13" t="str">
        <x:v>—</x:v>
      </x:c>
      <x:c r="N112" s="13" t="str">
        <x:v>job/subject/variant/asset均为UUID；创建请求带idempotency_key；记录设置/Skill/模型版本</x:v>
      </x:c>
      <x:c r="O112" s="13" t="str">
        <x:v>job queued/processing/completed/partial/failed；variant queued/processing/completed/failed</x:v>
      </x:c>
      <x:c r="P112" s="13" t="str">
        <x:v>1–20主体、余额不足、内容拦截、超时、部分成功、刷新恢复</x:v>
      </x:c>
      <x:c r="Q112" s="13" t="str">
        <x:v>仅本人读任务；Worker服务端权限；模型密钥不下发</x:v>
      </x:c>
      <x:c r="R112" s="13" t="str">
        <x:v>建任务+扣点同事务；每用户1个活动任务；重投跳过完成variant；资产30天</x:v>
      </x:c>
    </x:row>
    <x:row r="113" ht="68" customHeight="1">
      <x:c r="A113" s="13" t="str">
        <x:v>第 1 期</x:v>
      </x:c>
      <x:c r="B113" s="13" t="str">
        <x:v>2. 图标设计与生成</x:v>
      </x:c>
      <x:c r="C113" s="13" t="str">
        <x:v>GEN-002</x:v>
      </x:c>
      <x:c r="D113" s="13" t="str">
        <x:v>主体颜色</x:v>
      </x:c>
      <x:c r="E113" s="13" t="str">
        <x:v>FE-CREATE-COLOR-11</x:v>
      </x:c>
      <x:c r="F113" s="13" t="str">
        <x:v>前端</x:v>
      </x:c>
      <x:c r="G113" s="13" t="str">
        <x:v>完成主体颜色设置键盘与屏幕阅读器支持</x:v>
      </x:c>
      <x:c r="H113" s="13" t="str">
        <x:v>语义标签、焦点顺序、aria-live</x:v>
      </x:c>
      <x:c r="I113" s="13" t="str">
        <x:v>仅键盘可完成主流程；错误与状态可被读出</x:v>
      </x:c>
      <x:c r="J113" s="13" t="str">
        <x:v>—</x:v>
      </x:c>
      <x:c r="K113" s="13" t="str">
        <x:v>待完成</x:v>
      </x:c>
      <x:c r="L113" s="13" t="str">
        <x:v>08-23～08-25</x:v>
      </x:c>
      <x:c r="M113" s="13" t="str">
        <x:v>—</x:v>
      </x:c>
      <x:c r="N113" s="13" t="str">
        <x:v>job/subject/variant/asset均为UUID；创建请求带idempotency_key；记录设置/Skill/模型版本</x:v>
      </x:c>
      <x:c r="O113" s="13" t="str">
        <x:v>job queued/processing/completed/partial/failed；variant queued/processing/completed/failed</x:v>
      </x:c>
      <x:c r="P113" s="13" t="str">
        <x:v>1–20主体、余额不足、内容拦截、超时、部分成功、刷新恢复</x:v>
      </x:c>
      <x:c r="Q113" s="13" t="str">
        <x:v>仅本人读任务；Worker服务端权限；模型密钥不下发</x:v>
      </x:c>
      <x:c r="R113" s="13" t="str">
        <x:v>建任务+扣点同事务；每用户1个活动任务；重投跳过完成variant；资产30天</x:v>
      </x:c>
    </x:row>
    <x:row r="114" ht="68" customHeight="1">
      <x:c r="A114" s="13" t="str">
        <x:v>第 1 期</x:v>
      </x:c>
      <x:c r="B114" s="13" t="str">
        <x:v>2. 图标设计与生成</x:v>
      </x:c>
      <x:c r="C114" s="13" t="str">
        <x:v>GEN-002</x:v>
      </x:c>
      <x:c r="D114" s="13" t="str">
        <x:v>主体颜色</x:v>
      </x:c>
      <x:c r="E114" s="13" t="str">
        <x:v>FE-CREATE-COLOR-12</x:v>
      </x:c>
      <x:c r="F114" s="13" t="str">
        <x:v>前端</x:v>
      </x:c>
      <x:c r="G114" s="13" t="str">
        <x:v>编写主体颜色设置组件测试</x:v>
      </x:c>
      <x:c r="H114" s="13" t="str">
        <x:v>组件与交互测试</x:v>
      </x:c>
      <x:c r="I114" s="13" t="str">
        <x:v>覆盖成功、校验失败、服务端失败和重复点击</x:v>
      </x:c>
      <x:c r="J114" s="13" t="str">
        <x:v>—</x:v>
      </x:c>
      <x:c r="K114" s="13" t="str">
        <x:v>待完成</x:v>
      </x:c>
      <x:c r="L114" s="13" t="str">
        <x:v>08-23～08-25</x:v>
      </x:c>
      <x:c r="M114" s="13" t="str">
        <x:v>—</x:v>
      </x:c>
      <x:c r="N114" s="13" t="str">
        <x:v>job/subject/variant/asset均为UUID；创建请求带idempotency_key；记录设置/Skill/模型版本</x:v>
      </x:c>
      <x:c r="O114" s="13" t="str">
        <x:v>job queued/processing/completed/partial/failed；variant queued/processing/completed/failed</x:v>
      </x:c>
      <x:c r="P114" s="13" t="str">
        <x:v>1–20主体、余额不足、内容拦截、超时、部分成功、刷新恢复</x:v>
      </x:c>
      <x:c r="Q114" s="13" t="str">
        <x:v>仅本人读任务；Worker服务端权限；模型密钥不下发</x:v>
      </x:c>
      <x:c r="R114" s="13" t="str">
        <x:v>建任务+扣点同事务；每用户1个活动任务；重投跳过完成variant；资产30天</x:v>
      </x:c>
    </x:row>
    <x:row r="115" ht="68" customHeight="1">
      <x:c r="A115" s="13" t="str">
        <x:v>第 1 期</x:v>
      </x:c>
      <x:c r="B115" s="13" t="str">
        <x:v>2. 图标设计与生成</x:v>
      </x:c>
      <x:c r="C115" s="13" t="str">
        <x:v>GEN-003</x:v>
      </x:c>
      <x:c r="D115" s="13" t="str">
        <x:v>背景设置</x:v>
      </x:c>
      <x:c r="E115" s="13" t="str">
        <x:v>FE-CREATE-BG-01</x:v>
      </x:c>
      <x:c r="F115" s="13" t="str">
        <x:v>前端</x:v>
      </x:c>
      <x:c r="G115" s="13" t="str">
        <x:v>建立背景设置路由与页面边界</x:v>
      </x:c>
      <x:c r="H115" s="13" t="str">
        <x:v>背景设置路由、页面组件和Metadata</x:v>
      </x:c>
      <x:c r="I115" s="13" t="str">
        <x:v>直接访问路由可渲染；未授权跳转符合PRD；无运行时错误</x:v>
      </x:c>
      <x:c r="J115" s="13" t="str">
        <x:v>—</x:v>
      </x:c>
      <x:c r="K115" s="13" t="str">
        <x:v>待完成</x:v>
      </x:c>
      <x:c r="L115" s="13" t="str">
        <x:v>08-23～08-25</x:v>
      </x:c>
      <x:c r="M115" s="13" t="str">
        <x:v>—</x:v>
      </x:c>
      <x:c r="N115" s="13" t="str">
        <x:v>job/subject/variant/asset均为UUID；创建请求带idempotency_key；记录设置/Skill/模型版本</x:v>
      </x:c>
      <x:c r="O115" s="13" t="str">
        <x:v>job queued/processing/completed/partial/failed；variant queued/processing/completed/failed</x:v>
      </x:c>
      <x:c r="P115" s="13" t="str">
        <x:v>1–20主体、余额不足、内容拦截、超时、部分成功、刷新恢复</x:v>
      </x:c>
      <x:c r="Q115" s="13" t="str">
        <x:v>仅本人读任务；Worker服务端权限；模型密钥不下发</x:v>
      </x:c>
      <x:c r="R115" s="13" t="str">
        <x:v>建任务+扣点同事务；每用户1个活动任务；重投跳过完成variant；资产30天</x:v>
      </x:c>
    </x:row>
    <x:row r="116" ht="68" customHeight="1">
      <x:c r="A116" s="13" t="str">
        <x:v>第 1 期</x:v>
      </x:c>
      <x:c r="B116" s="13" t="str">
        <x:v>2. 图标设计与生成</x:v>
      </x:c>
      <x:c r="C116" s="13" t="str">
        <x:v>GEN-003</x:v>
      </x:c>
      <x:c r="D116" s="13" t="str">
        <x:v>背景设置</x:v>
      </x:c>
      <x:c r="E116" s="13" t="str">
        <x:v>FE-CREATE-BG-02</x:v>
      </x:c>
      <x:c r="F116" s="13" t="str">
        <x:v>前端</x:v>
      </x:c>
      <x:c r="G116" s="13" t="str">
        <x:v>定义背景设置页面状态模型</x:v>
      </x:c>
      <x:c r="H116" s="13" t="str">
        <x:v>页面状态类型与初始化逻辑</x:v>
      </x:c>
      <x:c r="I116" s="13" t="str">
        <x:v>每个状态只有一个含义；刷新后可恢复服务端状态</x:v>
      </x:c>
      <x:c r="J116" s="13" t="str">
        <x:v>FE-CREATE-BG-01</x:v>
      </x:c>
      <x:c r="K116" s="13" t="str">
        <x:v>待完成</x:v>
      </x:c>
      <x:c r="L116" s="13" t="str">
        <x:v>08-23～08-25</x:v>
      </x:c>
      <x:c r="M116" s="13" t="str">
        <x:v>—</x:v>
      </x:c>
      <x:c r="N116" s="13" t="str">
        <x:v>job/subject/variant/asset均为UUID；创建请求带idempotency_key；记录设置/Skill/模型版本</x:v>
      </x:c>
      <x:c r="O116" s="13" t="str">
        <x:v>job queued/processing/completed/partial/failed；variant queued/processing/completed/failed</x:v>
      </x:c>
      <x:c r="P116" s="13" t="str">
        <x:v>1–20主体、余额不足、内容拦截、超时、部分成功、刷新恢复</x:v>
      </x:c>
      <x:c r="Q116" s="13" t="str">
        <x:v>仅本人读任务；Worker服务端权限；模型密钥不下发</x:v>
      </x:c>
      <x:c r="R116" s="13" t="str">
        <x:v>建任务+扣点同事务；每用户1个活动任务；重投跳过完成variant；资产30天</x:v>
      </x:c>
    </x:row>
    <x:row r="117" ht="68" customHeight="1">
      <x:c r="A117" s="13" t="str">
        <x:v>第 1 期</x:v>
      </x:c>
      <x:c r="B117" s="13" t="str">
        <x:v>2. 图标设计与生成</x:v>
      </x:c>
      <x:c r="C117" s="13" t="str">
        <x:v>GEN-003</x:v>
      </x:c>
      <x:c r="D117" s="13" t="str">
        <x:v>背景设置</x:v>
      </x:c>
      <x:c r="E117" s="13" t="str">
        <x:v>FE-CREATE-BG-03</x:v>
      </x:c>
      <x:c r="F117" s="13" t="str">
        <x:v>前端</x:v>
      </x:c>
      <x:c r="G117" s="13" t="str">
        <x:v>实现背景开关</x:v>
      </x:c>
      <x:c r="H117" s="13" t="str">
        <x:v>enabled布尔状态</x:v>
      </x:c>
      <x:c r="I117" s="13" t="str">
        <x:v>关闭后容器为none并隐藏颜色</x:v>
      </x:c>
      <x:c r="J117" s="13" t="str">
        <x:v>—</x:v>
      </x:c>
      <x:c r="K117" s="13" t="str">
        <x:v>待完成</x:v>
      </x:c>
      <x:c r="L117" s="13" t="str">
        <x:v>08-23～08-25</x:v>
      </x:c>
      <x:c r="M117" s="13" t="str">
        <x:v>—</x:v>
      </x:c>
      <x:c r="N117" s="13" t="str">
        <x:v>job/subject/variant/asset均为UUID；创建请求带idempotency_key；记录设置/Skill/模型版本</x:v>
      </x:c>
      <x:c r="O117" s="13" t="str">
        <x:v>job queued/processing/completed/partial/failed；variant queued/processing/completed/failed</x:v>
      </x:c>
      <x:c r="P117" s="13" t="str">
        <x:v>1–20主体、余额不足、内容拦截、超时、部分成功、刷新恢复</x:v>
      </x:c>
      <x:c r="Q117" s="13" t="str">
        <x:v>仅本人读任务；Worker服务端权限；模型密钥不下发</x:v>
      </x:c>
      <x:c r="R117" s="13" t="str">
        <x:v>建任务+扣点同事务；每用户1个活动任务；重投跳过完成variant；资产30天</x:v>
      </x:c>
    </x:row>
    <x:row r="118" ht="68" customHeight="1">
      <x:c r="A118" s="13" t="str">
        <x:v>第 1 期</x:v>
      </x:c>
      <x:c r="B118" s="13" t="str">
        <x:v>2. 图标设计与生成</x:v>
      </x:c>
      <x:c r="C118" s="13" t="str">
        <x:v>GEN-003</x:v>
      </x:c>
      <x:c r="D118" s="13" t="str">
        <x:v>背景设置</x:v>
      </x:c>
      <x:c r="E118" s="13" t="str">
        <x:v>FE-CREATE-BG-04</x:v>
      </x:c>
      <x:c r="F118" s="13" t="str">
        <x:v>前端</x:v>
      </x:c>
      <x:c r="G118" s="13" t="str">
        <x:v>实现背景容器选择</x:v>
      </x:c>
      <x:c r="H118" s="13" t="str">
        <x:v>circle/square/rounded-square/pill</x:v>
      </x:c>
      <x:c r="I118" s="13" t="str">
        <x:v>只能单选允许值</x:v>
      </x:c>
      <x:c r="J118" s="13" t="str">
        <x:v>—</x:v>
      </x:c>
      <x:c r="K118" s="13" t="str">
        <x:v>待完成</x:v>
      </x:c>
      <x:c r="L118" s="13" t="str">
        <x:v>08-23～08-25</x:v>
      </x:c>
      <x:c r="M118" s="13" t="str">
        <x:v>—</x:v>
      </x:c>
      <x:c r="N118" s="13" t="str">
        <x:v>job/subject/variant/asset均为UUID；创建请求带idempotency_key；记录设置/Skill/模型版本</x:v>
      </x:c>
      <x:c r="O118" s="13" t="str">
        <x:v>job queued/processing/completed/partial/failed；variant queued/processing/completed/failed</x:v>
      </x:c>
      <x:c r="P118" s="13" t="str">
        <x:v>1–20主体、余额不足、内容拦截、超时、部分成功、刷新恢复</x:v>
      </x:c>
      <x:c r="Q118" s="13" t="str">
        <x:v>仅本人读任务；Worker服务端权限；模型密钥不下发</x:v>
      </x:c>
      <x:c r="R118" s="13" t="str">
        <x:v>建任务+扣点同事务；每用户1个活动任务；重投跳过完成variant；资产30天</x:v>
      </x:c>
    </x:row>
    <x:row r="119" ht="68" customHeight="1">
      <x:c r="A119" s="13" t="str">
        <x:v>第 1 期</x:v>
      </x:c>
      <x:c r="B119" s="13" t="str">
        <x:v>2. 图标设计与生成</x:v>
      </x:c>
      <x:c r="C119" s="13" t="str">
        <x:v>GEN-003</x:v>
      </x:c>
      <x:c r="D119" s="13" t="str">
        <x:v>背景设置</x:v>
      </x:c>
      <x:c r="E119" s="13" t="str">
        <x:v>FE-CREATE-BG-05</x:v>
      </x:c>
      <x:c r="F119" s="13" t="str">
        <x:v>前端</x:v>
      </x:c>
      <x:c r="G119" s="13" t="str">
        <x:v>实现背景纯色</x:v>
      </x:c>
      <x:c r="H119" s="13" t="str">
        <x:v>背景HEX输入</x:v>
      </x:c>
      <x:c r="I119" s="13" t="str">
        <x:v>与主体颜色字段分离</x:v>
      </x:c>
      <x:c r="J119" s="13" t="str">
        <x:v>—</x:v>
      </x:c>
      <x:c r="K119" s="13" t="str">
        <x:v>待完成</x:v>
      </x:c>
      <x:c r="L119" s="13" t="str">
        <x:v>08-23～08-25</x:v>
      </x:c>
      <x:c r="M119" s="13" t="str">
        <x:v>—</x:v>
      </x:c>
      <x:c r="N119" s="13" t="str">
        <x:v>job/subject/variant/asset均为UUID；创建请求带idempotency_key；记录设置/Skill/模型版本</x:v>
      </x:c>
      <x:c r="O119" s="13" t="str">
        <x:v>job queued/processing/completed/partial/failed；variant queued/processing/completed/failed</x:v>
      </x:c>
      <x:c r="P119" s="13" t="str">
        <x:v>1–20主体、余额不足、内容拦截、超时、部分成功、刷新恢复</x:v>
      </x:c>
      <x:c r="Q119" s="13" t="str">
        <x:v>仅本人读任务；Worker服务端权限；模型密钥不下发</x:v>
      </x:c>
      <x:c r="R119" s="13" t="str">
        <x:v>建任务+扣点同事务；每用户1个活动任务；重投跳过完成variant；资产30天</x:v>
      </x:c>
    </x:row>
    <x:row r="120" ht="68" customHeight="1">
      <x:c r="A120" s="13" t="str">
        <x:v>第 1 期</x:v>
      </x:c>
      <x:c r="B120" s="13" t="str">
        <x:v>2. 图标设计与生成</x:v>
      </x:c>
      <x:c r="C120" s="13" t="str">
        <x:v>GEN-003</x:v>
      </x:c>
      <x:c r="D120" s="13" t="str">
        <x:v>背景设置</x:v>
      </x:c>
      <x:c r="E120" s="13" t="str">
        <x:v>FE-CREATE-BG-06</x:v>
      </x:c>
      <x:c r="F120" s="13" t="str">
        <x:v>前端</x:v>
      </x:c>
      <x:c r="G120" s="13" t="str">
        <x:v>实现背景渐变</x:v>
      </x:c>
      <x:c r="H120" s="13" t="str">
        <x:v>两色和方向</x:v>
      </x:c>
      <x:c r="I120" s="13" t="str">
        <x:v>仅背景开启时提交</x:v>
      </x:c>
      <x:c r="J120" s="13" t="str">
        <x:v>—</x:v>
      </x:c>
      <x:c r="K120" s="13" t="str">
        <x:v>待完成</x:v>
      </x:c>
      <x:c r="L120" s="13" t="str">
        <x:v>08-23～08-25</x:v>
      </x:c>
      <x:c r="M120" s="13" t="str">
        <x:v>—</x:v>
      </x:c>
      <x:c r="N120" s="13" t="str">
        <x:v>job/subject/variant/asset均为UUID；创建请求带idempotency_key；记录设置/Skill/模型版本</x:v>
      </x:c>
      <x:c r="O120" s="13" t="str">
        <x:v>job queued/processing/completed/partial/failed；variant queued/processing/completed/failed</x:v>
      </x:c>
      <x:c r="P120" s="13" t="str">
        <x:v>1–20主体、余额不足、内容拦截、超时、部分成功、刷新恢复</x:v>
      </x:c>
      <x:c r="Q120" s="13" t="str">
        <x:v>仅本人读任务；Worker服务端权限；模型密钥不下发</x:v>
      </x:c>
      <x:c r="R120" s="13" t="str">
        <x:v>建任务+扣点同事务；每用户1个活动任务；重投跳过完成variant；资产30天</x:v>
      </x:c>
    </x:row>
    <x:row r="121" ht="68" customHeight="1">
      <x:c r="A121" s="13" t="str">
        <x:v>第 1 期</x:v>
      </x:c>
      <x:c r="B121" s="13" t="str">
        <x:v>2. 图标设计与生成</x:v>
      </x:c>
      <x:c r="C121" s="13" t="str">
        <x:v>GEN-003</x:v>
      </x:c>
      <x:c r="D121" s="13" t="str">
        <x:v>背景设置</x:v>
      </x:c>
      <x:c r="E121" s="13" t="str">
        <x:v>FE-CREATE-BG-07</x:v>
      </x:c>
      <x:c r="F121" s="13" t="str">
        <x:v>前端</x:v>
      </x:c>
      <x:c r="G121" s="13" t="str">
        <x:v>接入背景设置服务端接口</x:v>
      </x:c>
      <x:c r="H121" s="13" t="str">
        <x:v>generation schema客户端适配器</x:v>
      </x:c>
      <x:c r="I121" s="13" t="str">
        <x:v>请求字段与共享Schema一致；不在组件内拼装不受控请求</x:v>
      </x:c>
      <x:c r="J121" s="13" t="str">
        <x:v>FE-CREATE-BG-02</x:v>
      </x:c>
      <x:c r="K121" s="13" t="str">
        <x:v>待完成</x:v>
      </x:c>
      <x:c r="L121" s="13" t="str">
        <x:v>08-23～08-25</x:v>
      </x:c>
      <x:c r="M121" s="13" t="str">
        <x:v>—</x:v>
      </x:c>
      <x:c r="N121" s="13" t="str">
        <x:v>job/subject/variant/asset均为UUID；创建请求带idempotency_key；记录设置/Skill/模型版本</x:v>
      </x:c>
      <x:c r="O121" s="13" t="str">
        <x:v>job queued/processing/completed/partial/failed；variant queued/processing/completed/failed</x:v>
      </x:c>
      <x:c r="P121" s="13" t="str">
        <x:v>1–20主体、余额不足、内容拦截、超时、部分成功、刷新恢复</x:v>
      </x:c>
      <x:c r="Q121" s="13" t="str">
        <x:v>仅本人读任务；Worker服务端权限；模型密钥不下发</x:v>
      </x:c>
      <x:c r="R121" s="13" t="str">
        <x:v>建任务+扣点同事务；每用户1个活动任务；重投跳过完成variant；资产30天</x:v>
      </x:c>
    </x:row>
    <x:row r="122" ht="68" customHeight="1">
      <x:c r="A122" s="13" t="str">
        <x:v>第 1 期</x:v>
      </x:c>
      <x:c r="B122" s="13" t="str">
        <x:v>2. 图标设计与生成</x:v>
      </x:c>
      <x:c r="C122" s="13" t="str">
        <x:v>GEN-003</x:v>
      </x:c>
      <x:c r="D122" s="13" t="str">
        <x:v>背景设置</x:v>
      </x:c>
      <x:c r="E122" s="13" t="str">
        <x:v>FE-CREATE-BG-08</x:v>
      </x:c>
      <x:c r="F122" s="13" t="str">
        <x:v>前端</x:v>
      </x:c>
      <x:c r="G122" s="13" t="str">
        <x:v>实现背景设置加载状态</x:v>
      </x:c>
      <x:c r="H122" s="13" t="str">
        <x:v>骨架屏或进度反馈</x:v>
      </x:c>
      <x:c r="I122" s="13" t="str">
        <x:v>请求期间有可感知反馈；重复操作被禁用</x:v>
      </x:c>
      <x:c r="J122" s="13" t="str">
        <x:v>FE-CREATE-BG-02</x:v>
      </x:c>
      <x:c r="K122" s="13" t="str">
        <x:v>待完成</x:v>
      </x:c>
      <x:c r="L122" s="13" t="str">
        <x:v>08-23～08-25</x:v>
      </x:c>
      <x:c r="M122" s="13" t="str">
        <x:v>—</x:v>
      </x:c>
      <x:c r="N122" s="13" t="str">
        <x:v>job/subject/variant/asset均为UUID；创建请求带idempotency_key；记录设置/Skill/模型版本</x:v>
      </x:c>
      <x:c r="O122" s="13" t="str">
        <x:v>job queued/processing/completed/partial/failed；variant queued/processing/completed/failed</x:v>
      </x:c>
      <x:c r="P122" s="13" t="str">
        <x:v>1–20主体、余额不足、内容拦截、超时、部分成功、刷新恢复</x:v>
      </x:c>
      <x:c r="Q122" s="13" t="str">
        <x:v>仅本人读任务；Worker服务端权限；模型密钥不下发</x:v>
      </x:c>
      <x:c r="R122" s="13" t="str">
        <x:v>建任务+扣点同事务；每用户1个活动任务；重投跳过完成variant；资产30天</x:v>
      </x:c>
    </x:row>
    <x:row r="123" ht="68" customHeight="1">
      <x:c r="A123" s="13" t="str">
        <x:v>第 1 期</x:v>
      </x:c>
      <x:c r="B123" s="13" t="str">
        <x:v>2. 图标设计与生成</x:v>
      </x:c>
      <x:c r="C123" s="13" t="str">
        <x:v>GEN-003</x:v>
      </x:c>
      <x:c r="D123" s="13" t="str">
        <x:v>背景设置</x:v>
      </x:c>
      <x:c r="E123" s="13" t="str">
        <x:v>FE-CREATE-BG-09</x:v>
      </x:c>
      <x:c r="F123" s="13" t="str">
        <x:v>前端</x:v>
      </x:c>
      <x:c r="G123" s="13" t="str">
        <x:v>实现背景设置错误映射</x:v>
      </x:c>
      <x:c r="H123" s="13" t="str">
        <x:v>稳定错误码到双语用户文案的映射</x:v>
      </x:c>
      <x:c r="I123" s="13" t="str">
        <x:v>业务错误可恢复；未知错误不泄露内部信息</x:v>
      </x:c>
      <x:c r="J123" s="13" t="str">
        <x:v>FE-CREATE-BG-02</x:v>
      </x:c>
      <x:c r="K123" s="13" t="str">
        <x:v>待完成</x:v>
      </x:c>
      <x:c r="L123" s="13" t="str">
        <x:v>08-23～08-25</x:v>
      </x:c>
      <x:c r="M123" s="13" t="str">
        <x:v>—</x:v>
      </x:c>
      <x:c r="N123" s="13" t="str">
        <x:v>job/subject/variant/asset均为UUID；创建请求带idempotency_key；记录设置/Skill/模型版本</x:v>
      </x:c>
      <x:c r="O123" s="13" t="str">
        <x:v>job queued/processing/completed/partial/failed；variant queued/processing/completed/failed</x:v>
      </x:c>
      <x:c r="P123" s="13" t="str">
        <x:v>1–20主体、余额不足、内容拦截、超时、部分成功、刷新恢复</x:v>
      </x:c>
      <x:c r="Q123" s="13" t="str">
        <x:v>仅本人读任务；Worker服务端权限；模型密钥不下发</x:v>
      </x:c>
      <x:c r="R123" s="13" t="str">
        <x:v>建任务+扣点同事务；每用户1个活动任务；重投跳过完成variant；资产30天</x:v>
      </x:c>
    </x:row>
    <x:row r="124" ht="68" customHeight="1">
      <x:c r="A124" s="13" t="str">
        <x:v>第 1 期</x:v>
      </x:c>
      <x:c r="B124" s="13" t="str">
        <x:v>2. 图标设计与生成</x:v>
      </x:c>
      <x:c r="C124" s="13" t="str">
        <x:v>GEN-003</x:v>
      </x:c>
      <x:c r="D124" s="13" t="str">
        <x:v>背景设置</x:v>
      </x:c>
      <x:c r="E124" s="13" t="str">
        <x:v>FE-CREATE-BG-10</x:v>
      </x:c>
      <x:c r="F124" s="13" t="str">
        <x:v>前端</x:v>
      </x:c>
      <x:c r="G124" s="13" t="str">
        <x:v>完成背景设置中英文文案</x:v>
      </x:c>
      <x:c r="H124" s="13" t="str">
        <x:v>en/zh词条</x:v>
      </x:c>
      <x:c r="I124" s="13" t="str">
        <x:v>切换语言后字段含义、按钮和错误保持一致</x:v>
      </x:c>
      <x:c r="J124" s="13" t="str">
        <x:v>—</x:v>
      </x:c>
      <x:c r="K124" s="13" t="str">
        <x:v>待完成</x:v>
      </x:c>
      <x:c r="L124" s="13" t="str">
        <x:v>08-23～08-25</x:v>
      </x:c>
      <x:c r="M124" s="13" t="str">
        <x:v>—</x:v>
      </x:c>
      <x:c r="N124" s="13" t="str">
        <x:v>job/subject/variant/asset均为UUID；创建请求带idempotency_key；记录设置/Skill/模型版本</x:v>
      </x:c>
      <x:c r="O124" s="13" t="str">
        <x:v>job queued/processing/completed/partial/failed；variant queued/processing/completed/failed</x:v>
      </x:c>
      <x:c r="P124" s="13" t="str">
        <x:v>1–20主体、余额不足、内容拦截、超时、部分成功、刷新恢复</x:v>
      </x:c>
      <x:c r="Q124" s="13" t="str">
        <x:v>仅本人读任务；Worker服务端权限；模型密钥不下发</x:v>
      </x:c>
      <x:c r="R124" s="13" t="str">
        <x:v>建任务+扣点同事务；每用户1个活动任务；重投跳过完成variant；资产30天</x:v>
      </x:c>
    </x:row>
    <x:row r="125" ht="68" customHeight="1">
      <x:c r="A125" s="13" t="str">
        <x:v>第 1 期</x:v>
      </x:c>
      <x:c r="B125" s="13" t="str">
        <x:v>2. 图标设计与生成</x:v>
      </x:c>
      <x:c r="C125" s="13" t="str">
        <x:v>GEN-003</x:v>
      </x:c>
      <x:c r="D125" s="13" t="str">
        <x:v>背景设置</x:v>
      </x:c>
      <x:c r="E125" s="13" t="str">
        <x:v>FE-CREATE-BG-11</x:v>
      </x:c>
      <x:c r="F125" s="13" t="str">
        <x:v>前端</x:v>
      </x:c>
      <x:c r="G125" s="13" t="str">
        <x:v>完成背景设置键盘与屏幕阅读器支持</x:v>
      </x:c>
      <x:c r="H125" s="13" t="str">
        <x:v>语义标签、焦点顺序、aria-live</x:v>
      </x:c>
      <x:c r="I125" s="13" t="str">
        <x:v>仅键盘可完成主流程；错误与状态可被读出</x:v>
      </x:c>
      <x:c r="J125" s="13" t="str">
        <x:v>—</x:v>
      </x:c>
      <x:c r="K125" s="13" t="str">
        <x:v>待完成</x:v>
      </x:c>
      <x:c r="L125" s="13" t="str">
        <x:v>08-23～08-25</x:v>
      </x:c>
      <x:c r="M125" s="13" t="str">
        <x:v>—</x:v>
      </x:c>
      <x:c r="N125" s="13" t="str">
        <x:v>job/subject/variant/asset均为UUID；创建请求带idempotency_key；记录设置/Skill/模型版本</x:v>
      </x:c>
      <x:c r="O125" s="13" t="str">
        <x:v>job queued/processing/completed/partial/failed；variant queued/processing/completed/failed</x:v>
      </x:c>
      <x:c r="P125" s="13" t="str">
        <x:v>1–20主体、余额不足、内容拦截、超时、部分成功、刷新恢复</x:v>
      </x:c>
      <x:c r="Q125" s="13" t="str">
        <x:v>仅本人读任务；Worker服务端权限；模型密钥不下发</x:v>
      </x:c>
      <x:c r="R125" s="13" t="str">
        <x:v>建任务+扣点同事务；每用户1个活动任务；重投跳过完成variant；资产30天</x:v>
      </x:c>
    </x:row>
    <x:row r="126" ht="68" customHeight="1">
      <x:c r="A126" s="13" t="str">
        <x:v>第 1 期</x:v>
      </x:c>
      <x:c r="B126" s="13" t="str">
        <x:v>2. 图标设计与生成</x:v>
      </x:c>
      <x:c r="C126" s="13" t="str">
        <x:v>GEN-003</x:v>
      </x:c>
      <x:c r="D126" s="13" t="str">
        <x:v>背景设置</x:v>
      </x:c>
      <x:c r="E126" s="13" t="str">
        <x:v>FE-CREATE-BG-12</x:v>
      </x:c>
      <x:c r="F126" s="13" t="str">
        <x:v>前端</x:v>
      </x:c>
      <x:c r="G126" s="13" t="str">
        <x:v>编写背景设置组件测试</x:v>
      </x:c>
      <x:c r="H126" s="13" t="str">
        <x:v>组件与交互测试</x:v>
      </x:c>
      <x:c r="I126" s="13" t="str">
        <x:v>覆盖成功、校验失败、服务端失败和重复点击</x:v>
      </x:c>
      <x:c r="J126" s="13" t="str">
        <x:v>—</x:v>
      </x:c>
      <x:c r="K126" s="13" t="str">
        <x:v>待完成</x:v>
      </x:c>
      <x:c r="L126" s="13" t="str">
        <x:v>08-23～08-25</x:v>
      </x:c>
      <x:c r="M126" s="13" t="str">
        <x:v>—</x:v>
      </x:c>
      <x:c r="N126" s="13" t="str">
        <x:v>job/subject/variant/asset均为UUID；创建请求带idempotency_key；记录设置/Skill/模型版本</x:v>
      </x:c>
      <x:c r="O126" s="13" t="str">
        <x:v>job queued/processing/completed/partial/failed；variant queued/processing/completed/failed</x:v>
      </x:c>
      <x:c r="P126" s="13" t="str">
        <x:v>1–20主体、余额不足、内容拦截、超时、部分成功、刷新恢复</x:v>
      </x:c>
      <x:c r="Q126" s="13" t="str">
        <x:v>仅本人读任务；Worker服务端权限；模型密钥不下发</x:v>
      </x:c>
      <x:c r="R126" s="13" t="str">
        <x:v>建任务+扣点同事务；每用户1个活动任务；重投跳过完成variant；资产30天</x:v>
      </x:c>
    </x:row>
    <x:row r="127" ht="68" customHeight="1">
      <x:c r="A127" s="13" t="str">
        <x:v>第 1 期</x:v>
      </x:c>
      <x:c r="B127" s="13" t="str">
        <x:v>2. 图标设计与生成</x:v>
      </x:c>
      <x:c r="C127" s="13" t="str">
        <x:v>GEN-004</x:v>
      </x:c>
      <x:c r="D127" s="13" t="str">
        <x:v>6组25项设置</x:v>
      </x:c>
      <x:c r="E127" s="13" t="str">
        <x:v>FE-CREATE-SETTINGS-01</x:v>
      </x:c>
      <x:c r="F127" s="13" t="str">
        <x:v>前端</x:v>
      </x:c>
      <x:c r="G127" s="13" t="str">
        <x:v>建立核心设置区路由与页面边界</x:v>
      </x:c>
      <x:c r="H127" s="13" t="str">
        <x:v>核心设置区路由、页面组件和Metadata</x:v>
      </x:c>
      <x:c r="I127" s="13" t="str">
        <x:v>直接访问路由可渲染；未授权跳转符合PRD；无运行时错误</x:v>
      </x:c>
      <x:c r="J127" s="13" t="str">
        <x:v>—</x:v>
      </x:c>
      <x:c r="K127" s="13" t="str">
        <x:v>待完成</x:v>
      </x:c>
      <x:c r="L127" s="13" t="str">
        <x:v>08-24～08-26</x:v>
      </x:c>
      <x:c r="M127" s="13" t="str">
        <x:v>—</x:v>
      </x:c>
      <x:c r="N127" s="13" t="str">
        <x:v>job/subject/variant/asset均为UUID；创建请求带idempotency_key；记录设置/Skill/模型版本</x:v>
      </x:c>
      <x:c r="O127" s="13" t="str">
        <x:v>job queued/processing/completed/partial/failed；variant queued/processing/completed/failed</x:v>
      </x:c>
      <x:c r="P127" s="13" t="str">
        <x:v>1–20主体、余额不足、内容拦截、超时、部分成功、刷新恢复</x:v>
      </x:c>
      <x:c r="Q127" s="13" t="str">
        <x:v>仅本人读任务；Worker服务端权限；模型密钥不下发</x:v>
      </x:c>
      <x:c r="R127" s="13" t="str">
        <x:v>建任务+扣点同事务；每用户1个活动任务；重投跳过完成variant；资产30天</x:v>
      </x:c>
    </x:row>
    <x:row r="128" ht="68" customHeight="1">
      <x:c r="A128" s="13" t="str">
        <x:v>第 1 期</x:v>
      </x:c>
      <x:c r="B128" s="13" t="str">
        <x:v>2. 图标设计与生成</x:v>
      </x:c>
      <x:c r="C128" s="13" t="str">
        <x:v>GEN-004</x:v>
      </x:c>
      <x:c r="D128" s="13" t="str">
        <x:v>6组25项设置</x:v>
      </x:c>
      <x:c r="E128" s="13" t="str">
        <x:v>FE-CREATE-SETTINGS-02</x:v>
      </x:c>
      <x:c r="F128" s="13" t="str">
        <x:v>前端</x:v>
      </x:c>
      <x:c r="G128" s="13" t="str">
        <x:v>定义核心设置区页面状态模型</x:v>
      </x:c>
      <x:c r="H128" s="13" t="str">
        <x:v>页面状态类型与初始化逻辑</x:v>
      </x:c>
      <x:c r="I128" s="13" t="str">
        <x:v>每个状态只有一个含义；刷新后可恢复服务端状态</x:v>
      </x:c>
      <x:c r="J128" s="13" t="str">
        <x:v>FE-CREATE-SETTINGS-01</x:v>
      </x:c>
      <x:c r="K128" s="13" t="str">
        <x:v>待完成</x:v>
      </x:c>
      <x:c r="L128" s="13" t="str">
        <x:v>08-24～08-26</x:v>
      </x:c>
      <x:c r="M128" s="13" t="str">
        <x:v>—</x:v>
      </x:c>
      <x:c r="N128" s="13" t="str">
        <x:v>job/subject/variant/asset均为UUID；创建请求带idempotency_key；记录设置/Skill/模型版本</x:v>
      </x:c>
      <x:c r="O128" s="13" t="str">
        <x:v>job queued/processing/completed/partial/failed；variant queued/processing/completed/failed</x:v>
      </x:c>
      <x:c r="P128" s="13" t="str">
        <x:v>1–20主体、余额不足、内容拦截、超时、部分成功、刷新恢复</x:v>
      </x:c>
      <x:c r="Q128" s="13" t="str">
        <x:v>仅本人读任务；Worker服务端权限；模型密钥不下发</x:v>
      </x:c>
      <x:c r="R128" s="13" t="str">
        <x:v>建任务+扣点同事务；每用户1个活动任务；重投跳过完成variant；资产30天</x:v>
      </x:c>
    </x:row>
    <x:row r="129" ht="68" customHeight="1">
      <x:c r="A129" s="13" t="str">
        <x:v>第 1 期</x:v>
      </x:c>
      <x:c r="B129" s="13" t="str">
        <x:v>2. 图标设计与生成</x:v>
      </x:c>
      <x:c r="C129" s="13" t="str">
        <x:v>GEN-004</x:v>
      </x:c>
      <x:c r="D129" s="13" t="str">
        <x:v>6组25项设置</x:v>
      </x:c>
      <x:c r="E129" s="13" t="str">
        <x:v>FE-CREATE-SETTINGS-03</x:v>
      </x:c>
      <x:c r="F129" s="13" t="str">
        <x:v>前端</x:v>
      </x:c>
      <x:c r="G129" s="13" t="str">
        <x:v>从服务端/共享配置渲染设置</x:v>
      </x:c>
      <x:c r="H129" s="13" t="str">
        <x:v>版本、6组、25项</x:v>
      </x:c>
      <x:c r="I129" s="13" t="str">
        <x:v>不在页面重复硬编码目录</x:v>
      </x:c>
      <x:c r="J129" s="13" t="str">
        <x:v>—</x:v>
      </x:c>
      <x:c r="K129" s="13" t="str">
        <x:v>待完成</x:v>
      </x:c>
      <x:c r="L129" s="13" t="str">
        <x:v>08-24～08-26</x:v>
      </x:c>
      <x:c r="M129" s="13" t="str">
        <x:v>—</x:v>
      </x:c>
      <x:c r="N129" s="13" t="str">
        <x:v>job/subject/variant/asset均为UUID；创建请求带idempotency_key；记录设置/Skill/模型版本</x:v>
      </x:c>
      <x:c r="O129" s="13" t="str">
        <x:v>job queued/processing/completed/partial/failed；variant queued/processing/completed/failed</x:v>
      </x:c>
      <x:c r="P129" s="13" t="str">
        <x:v>1–20主体、余额不足、内容拦截、超时、部分成功、刷新恢复</x:v>
      </x:c>
      <x:c r="Q129" s="13" t="str">
        <x:v>仅本人读任务；Worker服务端权限；模型密钥不下发</x:v>
      </x:c>
      <x:c r="R129" s="13" t="str">
        <x:v>建任务+扣点同事务；每用户1个活动任务；重投跳过完成variant；资产30天</x:v>
      </x:c>
    </x:row>
    <x:row r="130" ht="68" customHeight="1">
      <x:c r="A130" s="13" t="str">
        <x:v>第 1 期</x:v>
      </x:c>
      <x:c r="B130" s="13" t="str">
        <x:v>2. 图标设计与生成</x:v>
      </x:c>
      <x:c r="C130" s="13" t="str">
        <x:v>GEN-004</x:v>
      </x:c>
      <x:c r="D130" s="13" t="str">
        <x:v>6组25项设置</x:v>
      </x:c>
      <x:c r="E130" s="13" t="str">
        <x:v>FE-CREATE-SETTINGS-04</x:v>
      </x:c>
      <x:c r="F130" s="13" t="str">
        <x:v>前端</x:v>
      </x:c>
      <x:c r="G130" s="13" t="str">
        <x:v>实现每组单选</x:v>
      </x:c>
      <x:c r="H130" s="13" t="str">
        <x:v>graphicStructure等6字段</x:v>
      </x:c>
      <x:c r="I130" s="13" t="str">
        <x:v>每组始终恰好一个值</x:v>
      </x:c>
      <x:c r="J130" s="13" t="str">
        <x:v>—</x:v>
      </x:c>
      <x:c r="K130" s="13" t="str">
        <x:v>待完成</x:v>
      </x:c>
      <x:c r="L130" s="13" t="str">
        <x:v>08-24～08-26</x:v>
      </x:c>
      <x:c r="M130" s="13" t="str">
        <x:v>—</x:v>
      </x:c>
      <x:c r="N130" s="13" t="str">
        <x:v>job/subject/variant/asset均为UUID；创建请求带idempotency_key；记录设置/Skill/模型版本</x:v>
      </x:c>
      <x:c r="O130" s="13" t="str">
        <x:v>job queued/processing/completed/partial/failed；variant queued/processing/completed/failed</x:v>
      </x:c>
      <x:c r="P130" s="13" t="str">
        <x:v>1–20主体、余额不足、内容拦截、超时、部分成功、刷新恢复</x:v>
      </x:c>
      <x:c r="Q130" s="13" t="str">
        <x:v>仅本人读任务；Worker服务端权限；模型密钥不下发</x:v>
      </x:c>
      <x:c r="R130" s="13" t="str">
        <x:v>建任务+扣点同事务；每用户1个活动任务；重投跳过完成variant；资产30天</x:v>
      </x:c>
    </x:row>
    <x:row r="131" ht="68" customHeight="1">
      <x:c r="A131" s="13" t="str">
        <x:v>第 1 期</x:v>
      </x:c>
      <x:c r="B131" s="13" t="str">
        <x:v>2. 图标设计与生成</x:v>
      </x:c>
      <x:c r="C131" s="13" t="str">
        <x:v>GEN-004</x:v>
      </x:c>
      <x:c r="D131" s="13" t="str">
        <x:v>6组25项设置</x:v>
      </x:c>
      <x:c r="E131" s="13" t="str">
        <x:v>FE-CREATE-SETTINGS-05</x:v>
      </x:c>
      <x:c r="F131" s="13" t="str">
        <x:v>前端</x:v>
      </x:c>
      <x:c r="G131" s="13" t="str">
        <x:v>实现设置摘要</x:v>
      </x:c>
      <x:c r="H131" s="13" t="str">
        <x:v>人类可读双语摘要</x:v>
      </x:c>
      <x:c r="I131" s="13" t="str">
        <x:v>摘要值与提交值一致</x:v>
      </x:c>
      <x:c r="J131" s="13" t="str">
        <x:v>—</x:v>
      </x:c>
      <x:c r="K131" s="13" t="str">
        <x:v>待完成</x:v>
      </x:c>
      <x:c r="L131" s="13" t="str">
        <x:v>08-24～08-26</x:v>
      </x:c>
      <x:c r="M131" s="13" t="str">
        <x:v>—</x:v>
      </x:c>
      <x:c r="N131" s="13" t="str">
        <x:v>job/subject/variant/asset均为UUID；创建请求带idempotency_key；记录设置/Skill/模型版本</x:v>
      </x:c>
      <x:c r="O131" s="13" t="str">
        <x:v>job queued/processing/completed/partial/failed；variant queued/processing/completed/failed</x:v>
      </x:c>
      <x:c r="P131" s="13" t="str">
        <x:v>1–20主体、余额不足、内容拦截、超时、部分成功、刷新恢复</x:v>
      </x:c>
      <x:c r="Q131" s="13" t="str">
        <x:v>仅本人读任务；Worker服务端权限；模型密钥不下发</x:v>
      </x:c>
      <x:c r="R131" s="13" t="str">
        <x:v>建任务+扣点同事务；每用户1个活动任务；重投跳过完成variant；资产30天</x:v>
      </x:c>
    </x:row>
    <x:row r="132" ht="68" customHeight="1">
      <x:c r="A132" s="13" t="str">
        <x:v>第 1 期</x:v>
      </x:c>
      <x:c r="B132" s="13" t="str">
        <x:v>2. 图标设计与生成</x:v>
      </x:c>
      <x:c r="C132" s="13" t="str">
        <x:v>GEN-004</x:v>
      </x:c>
      <x:c r="D132" s="13" t="str">
        <x:v>6组25项设置</x:v>
      </x:c>
      <x:c r="E132" s="13" t="str">
        <x:v>FE-CREATE-SETTINGS-06</x:v>
      </x:c>
      <x:c r="F132" s="13" t="str">
        <x:v>前端</x:v>
      </x:c>
      <x:c r="G132" s="13" t="str">
        <x:v>处理设置版本过期</x:v>
      </x:c>
      <x:c r="H132" s="13" t="str">
        <x:v>刷新配置并保留可映射选择</x:v>
      </x:c>
      <x:c r="I132" s="13" t="str">
        <x:v>无法映射时明确要求重选</x:v>
      </x:c>
      <x:c r="J132" s="13" t="str">
        <x:v>—</x:v>
      </x:c>
      <x:c r="K132" s="13" t="str">
        <x:v>待完成</x:v>
      </x:c>
      <x:c r="L132" s="13" t="str">
        <x:v>08-24～08-26</x:v>
      </x:c>
      <x:c r="M132" s="13" t="str">
        <x:v>—</x:v>
      </x:c>
      <x:c r="N132" s="13" t="str">
        <x:v>job/subject/variant/asset均为UUID；创建请求带idempotency_key；记录设置/Skill/模型版本</x:v>
      </x:c>
      <x:c r="O132" s="13" t="str">
        <x:v>job queued/processing/completed/partial/failed；variant queued/processing/completed/failed</x:v>
      </x:c>
      <x:c r="P132" s="13" t="str">
        <x:v>1–20主体、余额不足、内容拦截、超时、部分成功、刷新恢复</x:v>
      </x:c>
      <x:c r="Q132" s="13" t="str">
        <x:v>仅本人读任务；Worker服务端权限；模型密钥不下发</x:v>
      </x:c>
      <x:c r="R132" s="13" t="str">
        <x:v>建任务+扣点同事务；每用户1个活动任务；重投跳过完成variant；资产30天</x:v>
      </x:c>
    </x:row>
    <x:row r="133" ht="68" customHeight="1">
      <x:c r="A133" s="13" t="str">
        <x:v>第 1 期</x:v>
      </x:c>
      <x:c r="B133" s="13" t="str">
        <x:v>2. 图标设计与生成</x:v>
      </x:c>
      <x:c r="C133" s="13" t="str">
        <x:v>GEN-004</x:v>
      </x:c>
      <x:c r="D133" s="13" t="str">
        <x:v>6组25项设置</x:v>
      </x:c>
      <x:c r="E133" s="13" t="str">
        <x:v>FE-CREATE-SETTINGS-07</x:v>
      </x:c>
      <x:c r="F133" s="13" t="str">
        <x:v>前端</x:v>
      </x:c>
      <x:c r="G133" s="13" t="str">
        <x:v>接入核心设置区服务端接口</x:v>
      </x:c>
      <x:c r="H133" s="13" t="str">
        <x:v>GET /api/generation/settings客户端适配器</x:v>
      </x:c>
      <x:c r="I133" s="13" t="str">
        <x:v>请求字段与共享Schema一致；不在组件内拼装不受控请求</x:v>
      </x:c>
      <x:c r="J133" s="13" t="str">
        <x:v>FE-CREATE-SETTINGS-02</x:v>
      </x:c>
      <x:c r="K133" s="13" t="str">
        <x:v>待完成</x:v>
      </x:c>
      <x:c r="L133" s="13" t="str">
        <x:v>08-24～08-26</x:v>
      </x:c>
      <x:c r="M133" s="13" t="str">
        <x:v>—</x:v>
      </x:c>
      <x:c r="N133" s="13" t="str">
        <x:v>job/subject/variant/asset均为UUID；创建请求带idempotency_key；记录设置/Skill/模型版本</x:v>
      </x:c>
      <x:c r="O133" s="13" t="str">
        <x:v>job queued/processing/completed/partial/failed；variant queued/processing/completed/failed</x:v>
      </x:c>
      <x:c r="P133" s="13" t="str">
        <x:v>1–20主体、余额不足、内容拦截、超时、部分成功、刷新恢复</x:v>
      </x:c>
      <x:c r="Q133" s="13" t="str">
        <x:v>仅本人读任务；Worker服务端权限；模型密钥不下发</x:v>
      </x:c>
      <x:c r="R133" s="13" t="str">
        <x:v>建任务+扣点同事务；每用户1个活动任务；重投跳过完成variant；资产30天</x:v>
      </x:c>
    </x:row>
    <x:row r="134" ht="68" customHeight="1">
      <x:c r="A134" s="13" t="str">
        <x:v>第 1 期</x:v>
      </x:c>
      <x:c r="B134" s="13" t="str">
        <x:v>2. 图标设计与生成</x:v>
      </x:c>
      <x:c r="C134" s="13" t="str">
        <x:v>GEN-004</x:v>
      </x:c>
      <x:c r="D134" s="13" t="str">
        <x:v>6组25项设置</x:v>
      </x:c>
      <x:c r="E134" s="13" t="str">
        <x:v>FE-CREATE-SETTINGS-08</x:v>
      </x:c>
      <x:c r="F134" s="13" t="str">
        <x:v>前端</x:v>
      </x:c>
      <x:c r="G134" s="13" t="str">
        <x:v>实现核心设置区加载状态</x:v>
      </x:c>
      <x:c r="H134" s="13" t="str">
        <x:v>骨架屏或进度反馈</x:v>
      </x:c>
      <x:c r="I134" s="13" t="str">
        <x:v>请求期间有可感知反馈；重复操作被禁用</x:v>
      </x:c>
      <x:c r="J134" s="13" t="str">
        <x:v>FE-CREATE-SETTINGS-02</x:v>
      </x:c>
      <x:c r="K134" s="13" t="str">
        <x:v>待完成</x:v>
      </x:c>
      <x:c r="L134" s="13" t="str">
        <x:v>08-24～08-26</x:v>
      </x:c>
      <x:c r="M134" s="13" t="str">
        <x:v>—</x:v>
      </x:c>
      <x:c r="N134" s="13" t="str">
        <x:v>job/subject/variant/asset均为UUID；创建请求带idempotency_key；记录设置/Skill/模型版本</x:v>
      </x:c>
      <x:c r="O134" s="13" t="str">
        <x:v>job queued/processing/completed/partial/failed；variant queued/processing/completed/failed</x:v>
      </x:c>
      <x:c r="P134" s="13" t="str">
        <x:v>1–20主体、余额不足、内容拦截、超时、部分成功、刷新恢复</x:v>
      </x:c>
      <x:c r="Q134" s="13" t="str">
        <x:v>仅本人读任务；Worker服务端权限；模型密钥不下发</x:v>
      </x:c>
      <x:c r="R134" s="13" t="str">
        <x:v>建任务+扣点同事务；每用户1个活动任务；重投跳过完成variant；资产30天</x:v>
      </x:c>
    </x:row>
    <x:row r="135" ht="68" customHeight="1">
      <x:c r="A135" s="13" t="str">
        <x:v>第 1 期</x:v>
      </x:c>
      <x:c r="B135" s="13" t="str">
        <x:v>2. 图标设计与生成</x:v>
      </x:c>
      <x:c r="C135" s="13" t="str">
        <x:v>GEN-004</x:v>
      </x:c>
      <x:c r="D135" s="13" t="str">
        <x:v>6组25项设置</x:v>
      </x:c>
      <x:c r="E135" s="13" t="str">
        <x:v>FE-CREATE-SETTINGS-09</x:v>
      </x:c>
      <x:c r="F135" s="13" t="str">
        <x:v>前端</x:v>
      </x:c>
      <x:c r="G135" s="13" t="str">
        <x:v>实现核心设置区错误映射</x:v>
      </x:c>
      <x:c r="H135" s="13" t="str">
        <x:v>稳定错误码到双语用户文案的映射</x:v>
      </x:c>
      <x:c r="I135" s="13" t="str">
        <x:v>业务错误可恢复；未知错误不泄露内部信息</x:v>
      </x:c>
      <x:c r="J135" s="13" t="str">
        <x:v>FE-CREATE-SETTINGS-02</x:v>
      </x:c>
      <x:c r="K135" s="13" t="str">
        <x:v>待完成</x:v>
      </x:c>
      <x:c r="L135" s="13" t="str">
        <x:v>08-24～08-26</x:v>
      </x:c>
      <x:c r="M135" s="13" t="str">
        <x:v>—</x:v>
      </x:c>
      <x:c r="N135" s="13" t="str">
        <x:v>job/subject/variant/asset均为UUID；创建请求带idempotency_key；记录设置/Skill/模型版本</x:v>
      </x:c>
      <x:c r="O135" s="13" t="str">
        <x:v>job queued/processing/completed/partial/failed；variant queued/processing/completed/failed</x:v>
      </x:c>
      <x:c r="P135" s="13" t="str">
        <x:v>1–20主体、余额不足、内容拦截、超时、部分成功、刷新恢复</x:v>
      </x:c>
      <x:c r="Q135" s="13" t="str">
        <x:v>仅本人读任务；Worker服务端权限；模型密钥不下发</x:v>
      </x:c>
      <x:c r="R135" s="13" t="str">
        <x:v>建任务+扣点同事务；每用户1个活动任务；重投跳过完成variant；资产30天</x:v>
      </x:c>
    </x:row>
    <x:row r="136" ht="68" customHeight="1">
      <x:c r="A136" s="13" t="str">
        <x:v>第 1 期</x:v>
      </x:c>
      <x:c r="B136" s="13" t="str">
        <x:v>2. 图标设计与生成</x:v>
      </x:c>
      <x:c r="C136" s="13" t="str">
        <x:v>GEN-004</x:v>
      </x:c>
      <x:c r="D136" s="13" t="str">
        <x:v>6组25项设置</x:v>
      </x:c>
      <x:c r="E136" s="13" t="str">
        <x:v>FE-CREATE-SETTINGS-10</x:v>
      </x:c>
      <x:c r="F136" s="13" t="str">
        <x:v>前端</x:v>
      </x:c>
      <x:c r="G136" s="13" t="str">
        <x:v>完成核心设置区中英文文案</x:v>
      </x:c>
      <x:c r="H136" s="13" t="str">
        <x:v>en/zh词条</x:v>
      </x:c>
      <x:c r="I136" s="13" t="str">
        <x:v>切换语言后字段含义、按钮和错误保持一致</x:v>
      </x:c>
      <x:c r="J136" s="13" t="str">
        <x:v>—</x:v>
      </x:c>
      <x:c r="K136" s="13" t="str">
        <x:v>待完成</x:v>
      </x:c>
      <x:c r="L136" s="13" t="str">
        <x:v>08-24～08-26</x:v>
      </x:c>
      <x:c r="M136" s="13" t="str">
        <x:v>—</x:v>
      </x:c>
      <x:c r="N136" s="13" t="str">
        <x:v>job/subject/variant/asset均为UUID；创建请求带idempotency_key；记录设置/Skill/模型版本</x:v>
      </x:c>
      <x:c r="O136" s="13" t="str">
        <x:v>job queued/processing/completed/partial/failed；variant queued/processing/completed/failed</x:v>
      </x:c>
      <x:c r="P136" s="13" t="str">
        <x:v>1–20主体、余额不足、内容拦截、超时、部分成功、刷新恢复</x:v>
      </x:c>
      <x:c r="Q136" s="13" t="str">
        <x:v>仅本人读任务；Worker服务端权限；模型密钥不下发</x:v>
      </x:c>
      <x:c r="R136" s="13" t="str">
        <x:v>建任务+扣点同事务；每用户1个活动任务；重投跳过完成variant；资产30天</x:v>
      </x:c>
    </x:row>
    <x:row r="137" ht="68" customHeight="1">
      <x:c r="A137" s="13" t="str">
        <x:v>第 1 期</x:v>
      </x:c>
      <x:c r="B137" s="13" t="str">
        <x:v>2. 图标设计与生成</x:v>
      </x:c>
      <x:c r="C137" s="13" t="str">
        <x:v>GEN-004</x:v>
      </x:c>
      <x:c r="D137" s="13" t="str">
        <x:v>6组25项设置</x:v>
      </x:c>
      <x:c r="E137" s="13" t="str">
        <x:v>FE-CREATE-SETTINGS-11</x:v>
      </x:c>
      <x:c r="F137" s="13" t="str">
        <x:v>前端</x:v>
      </x:c>
      <x:c r="G137" s="13" t="str">
        <x:v>完成核心设置区键盘与屏幕阅读器支持</x:v>
      </x:c>
      <x:c r="H137" s="13" t="str">
        <x:v>语义标签、焦点顺序、aria-live</x:v>
      </x:c>
      <x:c r="I137" s="13" t="str">
        <x:v>仅键盘可完成主流程；错误与状态可被读出</x:v>
      </x:c>
      <x:c r="J137" s="13" t="str">
        <x:v>—</x:v>
      </x:c>
      <x:c r="K137" s="13" t="str">
        <x:v>待完成</x:v>
      </x:c>
      <x:c r="L137" s="13" t="str">
        <x:v>08-24～08-26</x:v>
      </x:c>
      <x:c r="M137" s="13" t="str">
        <x:v>—</x:v>
      </x:c>
      <x:c r="N137" s="13" t="str">
        <x:v>job/subject/variant/asset均为UUID；创建请求带idempotency_key；记录设置/Skill/模型版本</x:v>
      </x:c>
      <x:c r="O137" s="13" t="str">
        <x:v>job queued/processing/completed/partial/failed；variant queued/processing/completed/failed</x:v>
      </x:c>
      <x:c r="P137" s="13" t="str">
        <x:v>1–20主体、余额不足、内容拦截、超时、部分成功、刷新恢复</x:v>
      </x:c>
      <x:c r="Q137" s="13" t="str">
        <x:v>仅本人读任务；Worker服务端权限；模型密钥不下发</x:v>
      </x:c>
      <x:c r="R137" s="13" t="str">
        <x:v>建任务+扣点同事务；每用户1个活动任务；重投跳过完成variant；资产30天</x:v>
      </x:c>
    </x:row>
    <x:row r="138" ht="68" customHeight="1">
      <x:c r="A138" s="13" t="str">
        <x:v>第 1 期</x:v>
      </x:c>
      <x:c r="B138" s="13" t="str">
        <x:v>2. 图标设计与生成</x:v>
      </x:c>
      <x:c r="C138" s="13" t="str">
        <x:v>GEN-004</x:v>
      </x:c>
      <x:c r="D138" s="13" t="str">
        <x:v>6组25项设置</x:v>
      </x:c>
      <x:c r="E138" s="13" t="str">
        <x:v>FE-CREATE-SETTINGS-12</x:v>
      </x:c>
      <x:c r="F138" s="13" t="str">
        <x:v>前端</x:v>
      </x:c>
      <x:c r="G138" s="13" t="str">
        <x:v>编写核心设置区组件测试</x:v>
      </x:c>
      <x:c r="H138" s="13" t="str">
        <x:v>组件与交互测试</x:v>
      </x:c>
      <x:c r="I138" s="13" t="str">
        <x:v>覆盖成功、校验失败、服务端失败和重复点击</x:v>
      </x:c>
      <x:c r="J138" s="13" t="str">
        <x:v>—</x:v>
      </x:c>
      <x:c r="K138" s="13" t="str">
        <x:v>待完成</x:v>
      </x:c>
      <x:c r="L138" s="13" t="str">
        <x:v>08-24～08-26</x:v>
      </x:c>
      <x:c r="M138" s="13" t="str">
        <x:v>—</x:v>
      </x:c>
      <x:c r="N138" s="13" t="str">
        <x:v>job/subject/variant/asset均为UUID；创建请求带idempotency_key；记录设置/Skill/模型版本</x:v>
      </x:c>
      <x:c r="O138" s="13" t="str">
        <x:v>job queued/processing/completed/partial/failed；variant queued/processing/completed/failed</x:v>
      </x:c>
      <x:c r="P138" s="13" t="str">
        <x:v>1–20主体、余额不足、内容拦截、超时、部分成功、刷新恢复</x:v>
      </x:c>
      <x:c r="Q138" s="13" t="str">
        <x:v>仅本人读任务；Worker服务端权限；模型密钥不下发</x:v>
      </x:c>
      <x:c r="R138" s="13" t="str">
        <x:v>建任务+扣点同事务；每用户1个活动任务；重投跳过完成variant；资产30天</x:v>
      </x:c>
    </x:row>
    <x:row r="139" ht="68" customHeight="1">
      <x:c r="A139" s="13" t="str">
        <x:v>第 1 期</x:v>
      </x:c>
      <x:c r="B139" s="13" t="str">
        <x:v>2. 图标设计与生成</x:v>
      </x:c>
      <x:c r="C139" s="13" t="str">
        <x:v>GEN-005/007</x:v>
      </x:c>
      <x:c r="D139" s="13" t="str">
        <x:v>尺寸、报价与提交</x:v>
      </x:c>
      <x:c r="E139" s="13" t="str">
        <x:v>FE-CREATE-SUBMIT-01</x:v>
      </x:c>
      <x:c r="F139" s="13" t="str">
        <x:v>前端</x:v>
      </x:c>
      <x:c r="G139" s="13" t="str">
        <x:v>建立创建页提交区路由与页面边界</x:v>
      </x:c>
      <x:c r="H139" s="13" t="str">
        <x:v>创建页提交区路由、页面组件和Metadata</x:v>
      </x:c>
      <x:c r="I139" s="13" t="str">
        <x:v>直接访问路由可渲染；未授权跳转符合PRD；无运行时错误</x:v>
      </x:c>
      <x:c r="J139" s="13" t="str">
        <x:v>—</x:v>
      </x:c>
      <x:c r="K139" s="13" t="str">
        <x:v>待完成</x:v>
      </x:c>
      <x:c r="L139" s="13" t="str">
        <x:v>08-25～08-27</x:v>
      </x:c>
      <x:c r="M139" s="13" t="str">
        <x:v>—</x:v>
      </x:c>
      <x:c r="N139" s="13" t="str">
        <x:v>job/subject/variant/asset均为UUID；创建请求带idempotency_key；记录设置/Skill/模型版本</x:v>
      </x:c>
      <x:c r="O139" s="13" t="str">
        <x:v>job queued/processing/completed/partial/failed；variant queued/processing/completed/failed</x:v>
      </x:c>
      <x:c r="P139" s="13" t="str">
        <x:v>1–20主体、余额不足、内容拦截、超时、部分成功、刷新恢复</x:v>
      </x:c>
      <x:c r="Q139" s="13" t="str">
        <x:v>仅本人读任务；Worker服务端权限；模型密钥不下发</x:v>
      </x:c>
      <x:c r="R139" s="13" t="str">
        <x:v>建任务+扣点同事务；每用户1个活动任务；重投跳过完成variant；资产30天</x:v>
      </x:c>
    </x:row>
    <x:row r="140" ht="68" customHeight="1">
      <x:c r="A140" s="13" t="str">
        <x:v>第 1 期</x:v>
      </x:c>
      <x:c r="B140" s="13" t="str">
        <x:v>2. 图标设计与生成</x:v>
      </x:c>
      <x:c r="C140" s="13" t="str">
        <x:v>GEN-005/007</x:v>
      </x:c>
      <x:c r="D140" s="13" t="str">
        <x:v>尺寸、报价与提交</x:v>
      </x:c>
      <x:c r="E140" s="13" t="str">
        <x:v>FE-CREATE-SUBMIT-02</x:v>
      </x:c>
      <x:c r="F140" s="13" t="str">
        <x:v>前端</x:v>
      </x:c>
      <x:c r="G140" s="13" t="str">
        <x:v>定义创建页提交区页面状态模型</x:v>
      </x:c>
      <x:c r="H140" s="13" t="str">
        <x:v>页面状态类型与初始化逻辑</x:v>
      </x:c>
      <x:c r="I140" s="13" t="str">
        <x:v>每个状态只有一个含义；刷新后可恢复服务端状态</x:v>
      </x:c>
      <x:c r="J140" s="13" t="str">
        <x:v>FE-CREATE-SUBMIT-01</x:v>
      </x:c>
      <x:c r="K140" s="13" t="str">
        <x:v>待完成</x:v>
      </x:c>
      <x:c r="L140" s="13" t="str">
        <x:v>08-25～08-27</x:v>
      </x:c>
      <x:c r="M140" s="13" t="str">
        <x:v>—</x:v>
      </x:c>
      <x:c r="N140" s="13" t="str">
        <x:v>job/subject/variant/asset均为UUID；创建请求带idempotency_key；记录设置/Skill/模型版本</x:v>
      </x:c>
      <x:c r="O140" s="13" t="str">
        <x:v>job queued/processing/completed/partial/failed；variant queued/processing/completed/failed</x:v>
      </x:c>
      <x:c r="P140" s="13" t="str">
        <x:v>1–20主体、余额不足、内容拦截、超时、部分成功、刷新恢复</x:v>
      </x:c>
      <x:c r="Q140" s="13" t="str">
        <x:v>仅本人读任务；Worker服务端权限；模型密钥不下发</x:v>
      </x:c>
      <x:c r="R140" s="13" t="str">
        <x:v>建任务+扣点同事务；每用户1个活动任务；重投跳过完成variant；资产30天</x:v>
      </x:c>
    </x:row>
    <x:row r="141" ht="68" customHeight="1">
      <x:c r="A141" s="13" t="str">
        <x:v>第 1 期</x:v>
      </x:c>
      <x:c r="B141" s="13" t="str">
        <x:v>2. 图标设计与生成</x:v>
      </x:c>
      <x:c r="C141" s="13" t="str">
        <x:v>GEN-005/007</x:v>
      </x:c>
      <x:c r="D141" s="13" t="str">
        <x:v>尺寸、报价与提交</x:v>
      </x:c>
      <x:c r="E141" s="13" t="str">
        <x:v>FE-CREATE-SUBMIT-03</x:v>
      </x:c>
      <x:c r="F141" s="13" t="str">
        <x:v>前端</x:v>
      </x:c>
      <x:c r="G141" s="13" t="str">
        <x:v>实现常用尺寸多选</x:v>
      </x:c>
      <x:c r="H141" s="13" t="str">
        <x:v>16至1024允许列表</x:v>
      </x:c>
      <x:c r="I141" s="13" t="str">
        <x:v>至少选择1个；去重</x:v>
      </x:c>
      <x:c r="J141" s="13" t="str">
        <x:v>—</x:v>
      </x:c>
      <x:c r="K141" s="13" t="str">
        <x:v>待完成</x:v>
      </x:c>
      <x:c r="L141" s="13" t="str">
        <x:v>08-25～08-27</x:v>
      </x:c>
      <x:c r="M141" s="13" t="str">
        <x:v>—</x:v>
      </x:c>
      <x:c r="N141" s="13" t="str">
        <x:v>job/subject/variant/asset均为UUID；创建请求带idempotency_key；记录设置/Skill/模型版本</x:v>
      </x:c>
      <x:c r="O141" s="13" t="str">
        <x:v>job queued/processing/completed/partial/failed；variant queued/processing/completed/failed</x:v>
      </x:c>
      <x:c r="P141" s="13" t="str">
        <x:v>1–20主体、余额不足、内容拦截、超时、部分成功、刷新恢复</x:v>
      </x:c>
      <x:c r="Q141" s="13" t="str">
        <x:v>仅本人读任务；Worker服务端权限；模型密钥不下发</x:v>
      </x:c>
      <x:c r="R141" s="13" t="str">
        <x:v>建任务+扣点同事务；每用户1个活动任务；重投跳过完成variant；资产30天</x:v>
      </x:c>
    </x:row>
    <x:row r="142" ht="68" customHeight="1">
      <x:c r="A142" s="13" t="str">
        <x:v>第 1 期</x:v>
      </x:c>
      <x:c r="B142" s="13" t="str">
        <x:v>2. 图标设计与生成</x:v>
      </x:c>
      <x:c r="C142" s="13" t="str">
        <x:v>GEN-005/007</x:v>
      </x:c>
      <x:c r="D142" s="13" t="str">
        <x:v>尺寸、报价与提交</x:v>
      </x:c>
      <x:c r="E142" s="13" t="str">
        <x:v>FE-CREATE-SUBMIT-04</x:v>
      </x:c>
      <x:c r="F142" s="13" t="str">
        <x:v>前端</x:v>
      </x:c>
      <x:c r="G142" s="13" t="str">
        <x:v>显示预计点数</x:v>
      </x:c>
      <x:c r="H142" s="13" t="str">
        <x:v>主体数×1点</x:v>
      </x:c>
      <x:c r="I142" s="13" t="str">
        <x:v>随主体数实时更新</x:v>
      </x:c>
      <x:c r="J142" s="13" t="str">
        <x:v>—</x:v>
      </x:c>
      <x:c r="K142" s="13" t="str">
        <x:v>待完成</x:v>
      </x:c>
      <x:c r="L142" s="13" t="str">
        <x:v>08-25～08-27</x:v>
      </x:c>
      <x:c r="M142" s="13" t="str">
        <x:v>—</x:v>
      </x:c>
      <x:c r="N142" s="13" t="str">
        <x:v>job/subject/variant/asset均为UUID；创建请求带idempotency_key；记录设置/Skill/模型版本</x:v>
      </x:c>
      <x:c r="O142" s="13" t="str">
        <x:v>job queued/processing/completed/partial/failed；variant queued/processing/completed/failed</x:v>
      </x:c>
      <x:c r="P142" s="13" t="str">
        <x:v>1–20主体、余额不足、内容拦截、超时、部分成功、刷新恢复</x:v>
      </x:c>
      <x:c r="Q142" s="13" t="str">
        <x:v>仅本人读任务；Worker服务端权限；模型密钥不下发</x:v>
      </x:c>
      <x:c r="R142" s="13" t="str">
        <x:v>建任务+扣点同事务；每用户1个活动任务；重投跳过完成variant；资产30天</x:v>
      </x:c>
    </x:row>
    <x:row r="143" ht="68" customHeight="1">
      <x:c r="A143" s="13" t="str">
        <x:v>第 1 期</x:v>
      </x:c>
      <x:c r="B143" s="13" t="str">
        <x:v>2. 图标设计与生成</x:v>
      </x:c>
      <x:c r="C143" s="13" t="str">
        <x:v>GEN-005/007</x:v>
      </x:c>
      <x:c r="D143" s="13" t="str">
        <x:v>尺寸、报价与提交</x:v>
      </x:c>
      <x:c r="E143" s="13" t="str">
        <x:v>FE-CREATE-SUBMIT-05</x:v>
      </x:c>
      <x:c r="F143" s="13" t="str">
        <x:v>前端</x:v>
      </x:c>
      <x:c r="G143" s="13" t="str">
        <x:v>请求服务端报价</x:v>
      </x:c>
      <x:c r="H143" s="13" t="str">
        <x:v>服务端价格版本和余额</x:v>
      </x:c>
      <x:c r="I143" s="13" t="str">
        <x:v>前端估算不作为扣点依据</x:v>
      </x:c>
      <x:c r="J143" s="13" t="str">
        <x:v>—</x:v>
      </x:c>
      <x:c r="K143" s="13" t="str">
        <x:v>待完成</x:v>
      </x:c>
      <x:c r="L143" s="13" t="str">
        <x:v>08-25～08-27</x:v>
      </x:c>
      <x:c r="M143" s="13" t="str">
        <x:v>—</x:v>
      </x:c>
      <x:c r="N143" s="13" t="str">
        <x:v>job/subject/variant/asset均为UUID；创建请求带idempotency_key；记录设置/Skill/模型版本</x:v>
      </x:c>
      <x:c r="O143" s="13" t="str">
        <x:v>job queued/processing/completed/partial/failed；variant queued/processing/completed/failed</x:v>
      </x:c>
      <x:c r="P143" s="13" t="str">
        <x:v>1–20主体、余额不足、内容拦截、超时、部分成功、刷新恢复</x:v>
      </x:c>
      <x:c r="Q143" s="13" t="str">
        <x:v>仅本人读任务；Worker服务端权限；模型密钥不下发</x:v>
      </x:c>
      <x:c r="R143" s="13" t="str">
        <x:v>建任务+扣点同事务；每用户1个活动任务；重投跳过完成variant；资产30天</x:v>
      </x:c>
    </x:row>
    <x:row r="144" ht="68" customHeight="1">
      <x:c r="A144" s="13" t="str">
        <x:v>第 1 期</x:v>
      </x:c>
      <x:c r="B144" s="13" t="str">
        <x:v>2. 图标设计与生成</x:v>
      </x:c>
      <x:c r="C144" s="13" t="str">
        <x:v>GEN-005/007</x:v>
      </x:c>
      <x:c r="D144" s="13" t="str">
        <x:v>尺寸、报价与提交</x:v>
      </x:c>
      <x:c r="E144" s="13" t="str">
        <x:v>FE-CREATE-SUBMIT-06</x:v>
      </x:c>
      <x:c r="F144" s="13" t="str">
        <x:v>前端</x:v>
      </x:c>
      <x:c r="G144" s="13" t="str">
        <x:v>生成提交幂等键</x:v>
      </x:c>
      <x:c r="H144" s="13" t="str">
        <x:v>每次用户意图一个UUID</x:v>
      </x:c>
      <x:c r="I144" s="13" t="str">
        <x:v>网络重试复用同一键</x:v>
      </x:c>
      <x:c r="J144" s="13" t="str">
        <x:v>—</x:v>
      </x:c>
      <x:c r="K144" s="13" t="str">
        <x:v>待完成</x:v>
      </x:c>
      <x:c r="L144" s="13" t="str">
        <x:v>08-25～08-27</x:v>
      </x:c>
      <x:c r="M144" s="13" t="str">
        <x:v>—</x:v>
      </x:c>
      <x:c r="N144" s="13" t="str">
        <x:v>job/subject/variant/asset均为UUID；创建请求带idempotency_key；记录设置/Skill/模型版本</x:v>
      </x:c>
      <x:c r="O144" s="13" t="str">
        <x:v>job queued/processing/completed/partial/failed；variant queued/processing/completed/failed</x:v>
      </x:c>
      <x:c r="P144" s="13" t="str">
        <x:v>1–20主体、余额不足、内容拦截、超时、部分成功、刷新恢复</x:v>
      </x:c>
      <x:c r="Q144" s="13" t="str">
        <x:v>仅本人读任务；Worker服务端权限；模型密钥不下发</x:v>
      </x:c>
      <x:c r="R144" s="13" t="str">
        <x:v>建任务+扣点同事务；每用户1个活动任务；重投跳过完成variant；资产30天</x:v>
      </x:c>
    </x:row>
    <x:row r="145" ht="68" customHeight="1">
      <x:c r="A145" s="13" t="str">
        <x:v>第 1 期</x:v>
      </x:c>
      <x:c r="B145" s="13" t="str">
        <x:v>2. 图标设计与生成</x:v>
      </x:c>
      <x:c r="C145" s="13" t="str">
        <x:v>GEN-005/007</x:v>
      </x:c>
      <x:c r="D145" s="13" t="str">
        <x:v>尺寸、报价与提交</x:v>
      </x:c>
      <x:c r="E145" s="13" t="str">
        <x:v>FE-CREATE-SUBMIT-07</x:v>
      </x:c>
      <x:c r="F145" s="13" t="str">
        <x:v>前端</x:v>
      </x:c>
      <x:c r="G145" s="13" t="str">
        <x:v>提交期间锁定表单</x:v>
      </x:c>
      <x:c r="H145" s="13" t="str">
        <x:v>防重复提交</x:v>
      </x:c>
      <x:c r="I145" s="13" t="str">
        <x:v>成功前不产生第二任务</x:v>
      </x:c>
      <x:c r="J145" s="13" t="str">
        <x:v>—</x:v>
      </x:c>
      <x:c r="K145" s="13" t="str">
        <x:v>待完成</x:v>
      </x:c>
      <x:c r="L145" s="13" t="str">
        <x:v>08-25～08-27</x:v>
      </x:c>
      <x:c r="M145" s="13" t="str">
        <x:v>—</x:v>
      </x:c>
      <x:c r="N145" s="13" t="str">
        <x:v>job/subject/variant/asset均为UUID；创建请求带idempotency_key；记录设置/Skill/模型版本</x:v>
      </x:c>
      <x:c r="O145" s="13" t="str">
        <x:v>job queued/processing/completed/partial/failed；variant queued/processing/completed/failed</x:v>
      </x:c>
      <x:c r="P145" s="13" t="str">
        <x:v>1–20主体、余额不足、内容拦截、超时、部分成功、刷新恢复</x:v>
      </x:c>
      <x:c r="Q145" s="13" t="str">
        <x:v>仅本人读任务；Worker服务端权限；模型密钥不下发</x:v>
      </x:c>
      <x:c r="R145" s="13" t="str">
        <x:v>建任务+扣点同事务；每用户1个活动任务；重投跳过完成variant；资产30天</x:v>
      </x:c>
    </x:row>
    <x:row r="146" ht="68" customHeight="1">
      <x:c r="A146" s="13" t="str">
        <x:v>第 1 期</x:v>
      </x:c>
      <x:c r="B146" s="13" t="str">
        <x:v>2. 图标设计与生成</x:v>
      </x:c>
      <x:c r="C146" s="13" t="str">
        <x:v>GEN-005/007</x:v>
      </x:c>
      <x:c r="D146" s="13" t="str">
        <x:v>尺寸、报价与提交</x:v>
      </x:c>
      <x:c r="E146" s="13" t="str">
        <x:v>FE-CREATE-SUBMIT-08</x:v>
      </x:c>
      <x:c r="F146" s="13" t="str">
        <x:v>前端</x:v>
      </x:c>
      <x:c r="G146" s="13" t="str">
        <x:v>处理余额不足</x:v>
      </x:c>
      <x:c r="H146" s="13" t="str">
        <x:v>展示所需/现有点数和购买入口</x:v>
      </x:c>
      <x:c r="I146" s="13" t="str">
        <x:v>草稿不丢失</x:v>
      </x:c>
      <x:c r="J146" s="13" t="str">
        <x:v>—</x:v>
      </x:c>
      <x:c r="K146" s="13" t="str">
        <x:v>待完成</x:v>
      </x:c>
      <x:c r="L146" s="13" t="str">
        <x:v>08-25～08-27</x:v>
      </x:c>
      <x:c r="M146" s="13" t="str">
        <x:v>—</x:v>
      </x:c>
      <x:c r="N146" s="13" t="str">
        <x:v>job/subject/variant/asset均为UUID；创建请求带idempotency_key；记录设置/Skill/模型版本</x:v>
      </x:c>
      <x:c r="O146" s="13" t="str">
        <x:v>job queued/processing/completed/partial/failed；variant queued/processing/completed/failed</x:v>
      </x:c>
      <x:c r="P146" s="13" t="str">
        <x:v>1–20主体、余额不足、内容拦截、超时、部分成功、刷新恢复</x:v>
      </x:c>
      <x:c r="Q146" s="13" t="str">
        <x:v>仅本人读任务；Worker服务端权限；模型密钥不下发</x:v>
      </x:c>
      <x:c r="R146" s="13" t="str">
        <x:v>建任务+扣点同事务；每用户1个活动任务；重投跳过完成variant；资产30天</x:v>
      </x:c>
    </x:row>
    <x:row r="147" ht="68" customHeight="1">
      <x:c r="A147" s="13" t="str">
        <x:v>第 1 期</x:v>
      </x:c>
      <x:c r="B147" s="13" t="str">
        <x:v>2. 图标设计与生成</x:v>
      </x:c>
      <x:c r="C147" s="13" t="str">
        <x:v>GEN-005/007</x:v>
      </x:c>
      <x:c r="D147" s="13" t="str">
        <x:v>尺寸、报价与提交</x:v>
      </x:c>
      <x:c r="E147" s="13" t="str">
        <x:v>FE-CREATE-SUBMIT-09</x:v>
      </x:c>
      <x:c r="F147" s="13" t="str">
        <x:v>前端</x:v>
      </x:c>
      <x:c r="G147" s="13" t="str">
        <x:v>处理活动任务限制</x:v>
      </x:c>
      <x:c r="H147" s="13" t="str">
        <x:v>引导现有任务详情</x:v>
      </x:c>
      <x:c r="I147" s="13" t="str">
        <x:v>不重复扣点</x:v>
      </x:c>
      <x:c r="J147" s="13" t="str">
        <x:v>—</x:v>
      </x:c>
      <x:c r="K147" s="13" t="str">
        <x:v>待完成</x:v>
      </x:c>
      <x:c r="L147" s="13" t="str">
        <x:v>08-25～08-27</x:v>
      </x:c>
      <x:c r="M147" s="13" t="str">
        <x:v>—</x:v>
      </x:c>
      <x:c r="N147" s="13" t="str">
        <x:v>job/subject/variant/asset均为UUID；创建请求带idempotency_key；记录设置/Skill/模型版本</x:v>
      </x:c>
      <x:c r="O147" s="13" t="str">
        <x:v>job queued/processing/completed/partial/failed；variant queued/processing/completed/failed</x:v>
      </x:c>
      <x:c r="P147" s="13" t="str">
        <x:v>1–20主体、余额不足、内容拦截、超时、部分成功、刷新恢复</x:v>
      </x:c>
      <x:c r="Q147" s="13" t="str">
        <x:v>仅本人读任务；Worker服务端权限；模型密钥不下发</x:v>
      </x:c>
      <x:c r="R147" s="13" t="str">
        <x:v>建任务+扣点同事务；每用户1个活动任务；重投跳过完成variant；资产30天</x:v>
      </x:c>
    </x:row>
    <x:row r="148" ht="68" customHeight="1">
      <x:c r="A148" s="13" t="str">
        <x:v>第 1 期</x:v>
      </x:c>
      <x:c r="B148" s="13" t="str">
        <x:v>2. 图标设计与生成</x:v>
      </x:c>
      <x:c r="C148" s="13" t="str">
        <x:v>GEN-005/007</x:v>
      </x:c>
      <x:c r="D148" s="13" t="str">
        <x:v>尺寸、报价与提交</x:v>
      </x:c>
      <x:c r="E148" s="13" t="str">
        <x:v>FE-CREATE-SUBMIT-10</x:v>
      </x:c>
      <x:c r="F148" s="13" t="str">
        <x:v>前端</x:v>
      </x:c>
      <x:c r="G148" s="13" t="str">
        <x:v>接入创建页提交区服务端接口</x:v>
      </x:c>
      <x:c r="H148" s="13" t="str">
        <x:v>quote+POST /api/generation/jobs客户端适配器</x:v>
      </x:c>
      <x:c r="I148" s="13" t="str">
        <x:v>请求字段与共享Schema一致；不在组件内拼装不受控请求</x:v>
      </x:c>
      <x:c r="J148" s="13" t="str">
        <x:v>FE-CREATE-SUBMIT-02</x:v>
      </x:c>
      <x:c r="K148" s="13" t="str">
        <x:v>待完成</x:v>
      </x:c>
      <x:c r="L148" s="13" t="str">
        <x:v>08-25～08-27</x:v>
      </x:c>
      <x:c r="M148" s="13" t="str">
        <x:v>—</x:v>
      </x:c>
      <x:c r="N148" s="13" t="str">
        <x:v>job/subject/variant/asset均为UUID；创建请求带idempotency_key；记录设置/Skill/模型版本</x:v>
      </x:c>
      <x:c r="O148" s="13" t="str">
        <x:v>job queued/processing/completed/partial/failed；variant queued/processing/completed/failed</x:v>
      </x:c>
      <x:c r="P148" s="13" t="str">
        <x:v>1–20主体、余额不足、内容拦截、超时、部分成功、刷新恢复</x:v>
      </x:c>
      <x:c r="Q148" s="13" t="str">
        <x:v>仅本人读任务；Worker服务端权限；模型密钥不下发</x:v>
      </x:c>
      <x:c r="R148" s="13" t="str">
        <x:v>建任务+扣点同事务；每用户1个活动任务；重投跳过完成variant；资产30天</x:v>
      </x:c>
    </x:row>
    <x:row r="149" ht="68" customHeight="1">
      <x:c r="A149" s="13" t="str">
        <x:v>第 1 期</x:v>
      </x:c>
      <x:c r="B149" s="13" t="str">
        <x:v>2. 图标设计与生成</x:v>
      </x:c>
      <x:c r="C149" s="13" t="str">
        <x:v>GEN-005/007</x:v>
      </x:c>
      <x:c r="D149" s="13" t="str">
        <x:v>尺寸、报价与提交</x:v>
      </x:c>
      <x:c r="E149" s="13" t="str">
        <x:v>FE-CREATE-SUBMIT-11</x:v>
      </x:c>
      <x:c r="F149" s="13" t="str">
        <x:v>前端</x:v>
      </x:c>
      <x:c r="G149" s="13" t="str">
        <x:v>实现创建页提交区加载状态</x:v>
      </x:c>
      <x:c r="H149" s="13" t="str">
        <x:v>骨架屏或进度反馈</x:v>
      </x:c>
      <x:c r="I149" s="13" t="str">
        <x:v>请求期间有可感知反馈；重复操作被禁用</x:v>
      </x:c>
      <x:c r="J149" s="13" t="str">
        <x:v>FE-CREATE-SUBMIT-02</x:v>
      </x:c>
      <x:c r="K149" s="13" t="str">
        <x:v>待完成</x:v>
      </x:c>
      <x:c r="L149" s="13" t="str">
        <x:v>08-25～08-27</x:v>
      </x:c>
      <x:c r="M149" s="13" t="str">
        <x:v>—</x:v>
      </x:c>
      <x:c r="N149" s="13" t="str">
        <x:v>job/subject/variant/asset均为UUID；创建请求带idempotency_key；记录设置/Skill/模型版本</x:v>
      </x:c>
      <x:c r="O149" s="13" t="str">
        <x:v>job queued/processing/completed/partial/failed；variant queued/processing/completed/failed</x:v>
      </x:c>
      <x:c r="P149" s="13" t="str">
        <x:v>1–20主体、余额不足、内容拦截、超时、部分成功、刷新恢复</x:v>
      </x:c>
      <x:c r="Q149" s="13" t="str">
        <x:v>仅本人读任务；Worker服务端权限；模型密钥不下发</x:v>
      </x:c>
      <x:c r="R149" s="13" t="str">
        <x:v>建任务+扣点同事务；每用户1个活动任务；重投跳过完成variant；资产30天</x:v>
      </x:c>
    </x:row>
    <x:row r="150" ht="68" customHeight="1">
      <x:c r="A150" s="13" t="str">
        <x:v>第 1 期</x:v>
      </x:c>
      <x:c r="B150" s="13" t="str">
        <x:v>2. 图标设计与生成</x:v>
      </x:c>
      <x:c r="C150" s="13" t="str">
        <x:v>GEN-005/007</x:v>
      </x:c>
      <x:c r="D150" s="13" t="str">
        <x:v>尺寸、报价与提交</x:v>
      </x:c>
      <x:c r="E150" s="13" t="str">
        <x:v>FE-CREATE-SUBMIT-12</x:v>
      </x:c>
      <x:c r="F150" s="13" t="str">
        <x:v>前端</x:v>
      </x:c>
      <x:c r="G150" s="13" t="str">
        <x:v>实现创建页提交区错误映射</x:v>
      </x:c>
      <x:c r="H150" s="13" t="str">
        <x:v>稳定错误码到双语用户文案的映射</x:v>
      </x:c>
      <x:c r="I150" s="13" t="str">
        <x:v>业务错误可恢复；未知错误不泄露内部信息</x:v>
      </x:c>
      <x:c r="J150" s="13" t="str">
        <x:v>FE-CREATE-SUBMIT-02</x:v>
      </x:c>
      <x:c r="K150" s="13" t="str">
        <x:v>待完成</x:v>
      </x:c>
      <x:c r="L150" s="13" t="str">
        <x:v>08-25～08-27</x:v>
      </x:c>
      <x:c r="M150" s="13" t="str">
        <x:v>—</x:v>
      </x:c>
      <x:c r="N150" s="13" t="str">
        <x:v>job/subject/variant/asset均为UUID；创建请求带idempotency_key；记录设置/Skill/模型版本</x:v>
      </x:c>
      <x:c r="O150" s="13" t="str">
        <x:v>job queued/processing/completed/partial/failed；variant queued/processing/completed/failed</x:v>
      </x:c>
      <x:c r="P150" s="13" t="str">
        <x:v>1–20主体、余额不足、内容拦截、超时、部分成功、刷新恢复</x:v>
      </x:c>
      <x:c r="Q150" s="13" t="str">
        <x:v>仅本人读任务；Worker服务端权限；模型密钥不下发</x:v>
      </x:c>
      <x:c r="R150" s="13" t="str">
        <x:v>建任务+扣点同事务；每用户1个活动任务；重投跳过完成variant；资产30天</x:v>
      </x:c>
    </x:row>
    <x:row r="151" ht="68" customHeight="1">
      <x:c r="A151" s="13" t="str">
        <x:v>第 1 期</x:v>
      </x:c>
      <x:c r="B151" s="13" t="str">
        <x:v>2. 图标设计与生成</x:v>
      </x:c>
      <x:c r="C151" s="13" t="str">
        <x:v>GEN-005/007</x:v>
      </x:c>
      <x:c r="D151" s="13" t="str">
        <x:v>尺寸、报价与提交</x:v>
      </x:c>
      <x:c r="E151" s="13" t="str">
        <x:v>FE-CREATE-SUBMIT-13</x:v>
      </x:c>
      <x:c r="F151" s="13" t="str">
        <x:v>前端</x:v>
      </x:c>
      <x:c r="G151" s="13" t="str">
        <x:v>完成创建页提交区中英文文案</x:v>
      </x:c>
      <x:c r="H151" s="13" t="str">
        <x:v>en/zh词条</x:v>
      </x:c>
      <x:c r="I151" s="13" t="str">
        <x:v>切换语言后字段含义、按钮和错误保持一致</x:v>
      </x:c>
      <x:c r="J151" s="13" t="str">
        <x:v>—</x:v>
      </x:c>
      <x:c r="K151" s="13" t="str">
        <x:v>待完成</x:v>
      </x:c>
      <x:c r="L151" s="13" t="str">
        <x:v>08-25～08-27</x:v>
      </x:c>
      <x:c r="M151" s="13" t="str">
        <x:v>—</x:v>
      </x:c>
      <x:c r="N151" s="13" t="str">
        <x:v>job/subject/variant/asset均为UUID；创建请求带idempotency_key；记录设置/Skill/模型版本</x:v>
      </x:c>
      <x:c r="O151" s="13" t="str">
        <x:v>job queued/processing/completed/partial/failed；variant queued/processing/completed/failed</x:v>
      </x:c>
      <x:c r="P151" s="13" t="str">
        <x:v>1–20主体、余额不足、内容拦截、超时、部分成功、刷新恢复</x:v>
      </x:c>
      <x:c r="Q151" s="13" t="str">
        <x:v>仅本人读任务；Worker服务端权限；模型密钥不下发</x:v>
      </x:c>
      <x:c r="R151" s="13" t="str">
        <x:v>建任务+扣点同事务；每用户1个活动任务；重投跳过完成variant；资产30天</x:v>
      </x:c>
    </x:row>
    <x:row r="152" ht="68" customHeight="1">
      <x:c r="A152" s="13" t="str">
        <x:v>第 1 期</x:v>
      </x:c>
      <x:c r="B152" s="13" t="str">
        <x:v>2. 图标设计与生成</x:v>
      </x:c>
      <x:c r="C152" s="13" t="str">
        <x:v>GEN-005/007</x:v>
      </x:c>
      <x:c r="D152" s="13" t="str">
        <x:v>尺寸、报价与提交</x:v>
      </x:c>
      <x:c r="E152" s="13" t="str">
        <x:v>FE-CREATE-SUBMIT-14</x:v>
      </x:c>
      <x:c r="F152" s="13" t="str">
        <x:v>前端</x:v>
      </x:c>
      <x:c r="G152" s="13" t="str">
        <x:v>完成创建页提交区键盘与屏幕阅读器支持</x:v>
      </x:c>
      <x:c r="H152" s="13" t="str">
        <x:v>语义标签、焦点顺序、aria-live</x:v>
      </x:c>
      <x:c r="I152" s="13" t="str">
        <x:v>仅键盘可完成主流程；错误与状态可被读出</x:v>
      </x:c>
      <x:c r="J152" s="13" t="str">
        <x:v>—</x:v>
      </x:c>
      <x:c r="K152" s="13" t="str">
        <x:v>待完成</x:v>
      </x:c>
      <x:c r="L152" s="13" t="str">
        <x:v>08-25～08-27</x:v>
      </x:c>
      <x:c r="M152" s="13" t="str">
        <x:v>—</x:v>
      </x:c>
      <x:c r="N152" s="13" t="str">
        <x:v>job/subject/variant/asset均为UUID；创建请求带idempotency_key；记录设置/Skill/模型版本</x:v>
      </x:c>
      <x:c r="O152" s="13" t="str">
        <x:v>job queued/processing/completed/partial/failed；variant queued/processing/completed/failed</x:v>
      </x:c>
      <x:c r="P152" s="13" t="str">
        <x:v>1–20主体、余额不足、内容拦截、超时、部分成功、刷新恢复</x:v>
      </x:c>
      <x:c r="Q152" s="13" t="str">
        <x:v>仅本人读任务；Worker服务端权限；模型密钥不下发</x:v>
      </x:c>
      <x:c r="R152" s="13" t="str">
        <x:v>建任务+扣点同事务；每用户1个活动任务；重投跳过完成variant；资产30天</x:v>
      </x:c>
    </x:row>
    <x:row r="153" ht="68" customHeight="1">
      <x:c r="A153" s="13" t="str">
        <x:v>第 1 期</x:v>
      </x:c>
      <x:c r="B153" s="13" t="str">
        <x:v>2. 图标设计与生成</x:v>
      </x:c>
      <x:c r="C153" s="13" t="str">
        <x:v>GEN-005/007</x:v>
      </x:c>
      <x:c r="D153" s="13" t="str">
        <x:v>尺寸、报价与提交</x:v>
      </x:c>
      <x:c r="E153" s="13" t="str">
        <x:v>FE-CREATE-SUBMIT-15</x:v>
      </x:c>
      <x:c r="F153" s="13" t="str">
        <x:v>前端</x:v>
      </x:c>
      <x:c r="G153" s="13" t="str">
        <x:v>编写创建页提交区组件测试</x:v>
      </x:c>
      <x:c r="H153" s="13" t="str">
        <x:v>组件与交互测试</x:v>
      </x:c>
      <x:c r="I153" s="13" t="str">
        <x:v>覆盖成功、校验失败、服务端失败和重复点击</x:v>
      </x:c>
      <x:c r="J153" s="13" t="str">
        <x:v>—</x:v>
      </x:c>
      <x:c r="K153" s="13" t="str">
        <x:v>待完成</x:v>
      </x:c>
      <x:c r="L153" s="13" t="str">
        <x:v>08-25～08-27</x:v>
      </x:c>
      <x:c r="M153" s="13" t="str">
        <x:v>—</x:v>
      </x:c>
      <x:c r="N153" s="13" t="str">
        <x:v>job/subject/variant/asset均为UUID；创建请求带idempotency_key；记录设置/Skill/模型版本</x:v>
      </x:c>
      <x:c r="O153" s="13" t="str">
        <x:v>job queued/processing/completed/partial/failed；variant queued/processing/completed/failed</x:v>
      </x:c>
      <x:c r="P153" s="13" t="str">
        <x:v>1–20主体、余额不足、内容拦截、超时、部分成功、刷新恢复</x:v>
      </x:c>
      <x:c r="Q153" s="13" t="str">
        <x:v>仅本人读任务；Worker服务端权限；模型密钥不下发</x:v>
      </x:c>
      <x:c r="R153" s="13" t="str">
        <x:v>建任务+扣点同事务；每用户1个活动任务；重投跳过完成variant；资产30天</x:v>
      </x:c>
    </x:row>
    <x:row r="154" ht="68" customHeight="1">
      <x:c r="A154" s="13" t="str">
        <x:v>第 1 期</x:v>
      </x:c>
      <x:c r="B154" s="13" t="str">
        <x:v>2. 图标设计与生成</x:v>
      </x:c>
      <x:c r="C154" s="13" t="str">
        <x:v>GEN-008</x:v>
      </x:c>
      <x:c r="D154" s="13" t="str">
        <x:v>异步生成进度</x:v>
      </x:c>
      <x:c r="E154" s="13" t="str">
        <x:v>FE-PROGRESS-01</x:v>
      </x:c>
      <x:c r="F154" s="13" t="str">
        <x:v>前端</x:v>
      </x:c>
      <x:c r="G154" s="13" t="str">
        <x:v>建立生成进度区路由与页面边界</x:v>
      </x:c>
      <x:c r="H154" s="13" t="str">
        <x:v>生成进度区路由、页面组件和Metadata</x:v>
      </x:c>
      <x:c r="I154" s="13" t="str">
        <x:v>直接访问路由可渲染；未授权跳转符合PRD；无运行时错误</x:v>
      </x:c>
      <x:c r="J154" s="13" t="str">
        <x:v>—</x:v>
      </x:c>
      <x:c r="K154" s="13" t="str">
        <x:v>待完成</x:v>
      </x:c>
      <x:c r="L154" s="13" t="str">
        <x:v>08-26～08-28</x:v>
      </x:c>
      <x:c r="M154" s="13" t="str">
        <x:v>—</x:v>
      </x:c>
      <x:c r="N154" s="13" t="str">
        <x:v>job/subject/variant/asset均为UUID；创建请求带idempotency_key；记录设置/Skill/模型版本</x:v>
      </x:c>
      <x:c r="O154" s="13" t="str">
        <x:v>job queued/processing/completed/partial/failed；variant queued/processing/completed/failed</x:v>
      </x:c>
      <x:c r="P154" s="13" t="str">
        <x:v>1–20主体、余额不足、内容拦截、超时、部分成功、刷新恢复</x:v>
      </x:c>
      <x:c r="Q154" s="13" t="str">
        <x:v>仅本人读任务；Worker服务端权限；模型密钥不下发</x:v>
      </x:c>
      <x:c r="R154" s="13" t="str">
        <x:v>建任务+扣点同事务；每用户1个活动任务；重投跳过完成variant；资产30天</x:v>
      </x:c>
    </x:row>
    <x:row r="155" ht="68" customHeight="1">
      <x:c r="A155" s="13" t="str">
        <x:v>第 1 期</x:v>
      </x:c>
      <x:c r="B155" s="13" t="str">
        <x:v>2. 图标设计与生成</x:v>
      </x:c>
      <x:c r="C155" s="13" t="str">
        <x:v>GEN-008</x:v>
      </x:c>
      <x:c r="D155" s="13" t="str">
        <x:v>异步生成进度</x:v>
      </x:c>
      <x:c r="E155" s="13" t="str">
        <x:v>FE-PROGRESS-02</x:v>
      </x:c>
      <x:c r="F155" s="13" t="str">
        <x:v>前端</x:v>
      </x:c>
      <x:c r="G155" s="13" t="str">
        <x:v>定义生成进度区页面状态模型</x:v>
      </x:c>
      <x:c r="H155" s="13" t="str">
        <x:v>页面状态类型与初始化逻辑</x:v>
      </x:c>
      <x:c r="I155" s="13" t="str">
        <x:v>每个状态只有一个含义；刷新后可恢复服务端状态</x:v>
      </x:c>
      <x:c r="J155" s="13" t="str">
        <x:v>FE-PROGRESS-01</x:v>
      </x:c>
      <x:c r="K155" s="13" t="str">
        <x:v>待完成</x:v>
      </x:c>
      <x:c r="L155" s="13" t="str">
        <x:v>08-26～08-28</x:v>
      </x:c>
      <x:c r="M155" s="13" t="str">
        <x:v>—</x:v>
      </x:c>
      <x:c r="N155" s="13" t="str">
        <x:v>job/subject/variant/asset均为UUID；创建请求带idempotency_key；记录设置/Skill/模型版本</x:v>
      </x:c>
      <x:c r="O155" s="13" t="str">
        <x:v>job queued/processing/completed/partial/failed；variant queued/processing/completed/failed</x:v>
      </x:c>
      <x:c r="P155" s="13" t="str">
        <x:v>1–20主体、余额不足、内容拦截、超时、部分成功、刷新恢复</x:v>
      </x:c>
      <x:c r="Q155" s="13" t="str">
        <x:v>仅本人读任务；Worker服务端权限；模型密钥不下发</x:v>
      </x:c>
      <x:c r="R155" s="13" t="str">
        <x:v>建任务+扣点同事务；每用户1个活动任务；重投跳过完成variant；资产30天</x:v>
      </x:c>
    </x:row>
    <x:row r="156" ht="68" customHeight="1">
      <x:c r="A156" s="13" t="str">
        <x:v>第 1 期</x:v>
      </x:c>
      <x:c r="B156" s="13" t="str">
        <x:v>2. 图标设计与生成</x:v>
      </x:c>
      <x:c r="C156" s="13" t="str">
        <x:v>GEN-008</x:v>
      </x:c>
      <x:c r="D156" s="13" t="str">
        <x:v>异步生成进度</x:v>
      </x:c>
      <x:c r="E156" s="13" t="str">
        <x:v>FE-PROGRESS-03</x:v>
      </x:c>
      <x:c r="F156" s="13" t="str">
        <x:v>前端</x:v>
      </x:c>
      <x:c r="G156" s="13" t="str">
        <x:v>实现轮询调度</x:v>
      </x:c>
      <x:c r="H156" s="13" t="str">
        <x:v>可见时轮询、隐藏时降频</x:v>
      </x:c>
      <x:c r="I156" s="13" t="str">
        <x:v>卸载后停止请求</x:v>
      </x:c>
      <x:c r="J156" s="13" t="str">
        <x:v>—</x:v>
      </x:c>
      <x:c r="K156" s="13" t="str">
        <x:v>待完成</x:v>
      </x:c>
      <x:c r="L156" s="13" t="str">
        <x:v>08-26～08-28</x:v>
      </x:c>
      <x:c r="M156" s="13" t="str">
        <x:v>—</x:v>
      </x:c>
      <x:c r="N156" s="13" t="str">
        <x:v>job/subject/variant/asset均为UUID；创建请求带idempotency_key；记录设置/Skill/模型版本</x:v>
      </x:c>
      <x:c r="O156" s="13" t="str">
        <x:v>job queued/processing/completed/partial/failed；variant queued/processing/completed/failed</x:v>
      </x:c>
      <x:c r="P156" s="13" t="str">
        <x:v>1–20主体、余额不足、内容拦截、超时、部分成功、刷新恢复</x:v>
      </x:c>
      <x:c r="Q156" s="13" t="str">
        <x:v>仅本人读任务；Worker服务端权限；模型密钥不下发</x:v>
      </x:c>
      <x:c r="R156" s="13" t="str">
        <x:v>建任务+扣点同事务；每用户1个活动任务；重投跳过完成variant；资产30天</x:v>
      </x:c>
    </x:row>
    <x:row r="157" ht="68" customHeight="1">
      <x:c r="A157" s="13" t="str">
        <x:v>第 1 期</x:v>
      </x:c>
      <x:c r="B157" s="13" t="str">
        <x:v>2. 图标设计与生成</x:v>
      </x:c>
      <x:c r="C157" s="13" t="str">
        <x:v>GEN-008</x:v>
      </x:c>
      <x:c r="D157" s="13" t="str">
        <x:v>异步生成进度</x:v>
      </x:c>
      <x:c r="E157" s="13" t="str">
        <x:v>FE-PROGRESS-04</x:v>
      </x:c>
      <x:c r="F157" s="13" t="str">
        <x:v>前端</x:v>
      </x:c>
      <x:c r="G157" s="13" t="str">
        <x:v>展示百分比和阶段文本</x:v>
      </x:c>
      <x:c r="H157" s="13" t="str">
        <x:v>0–100与phase</x:v>
      </x:c>
      <x:c r="I157" s="13" t="str">
        <x:v>百分比不倒退</x:v>
      </x:c>
      <x:c r="J157" s="13" t="str">
        <x:v>—</x:v>
      </x:c>
      <x:c r="K157" s="13" t="str">
        <x:v>待完成</x:v>
      </x:c>
      <x:c r="L157" s="13" t="str">
        <x:v>08-26～08-28</x:v>
      </x:c>
      <x:c r="M157" s="13" t="str">
        <x:v>—</x:v>
      </x:c>
      <x:c r="N157" s="13" t="str">
        <x:v>job/subject/variant/asset均为UUID；创建请求带idempotency_key；记录设置/Skill/模型版本</x:v>
      </x:c>
      <x:c r="O157" s="13" t="str">
        <x:v>job queued/processing/completed/partial/failed；variant queued/processing/completed/failed</x:v>
      </x:c>
      <x:c r="P157" s="13" t="str">
        <x:v>1–20主体、余额不足、内容拦截、超时、部分成功、刷新恢复</x:v>
      </x:c>
      <x:c r="Q157" s="13" t="str">
        <x:v>仅本人读任务；Worker服务端权限；模型密钥不下发</x:v>
      </x:c>
      <x:c r="R157" s="13" t="str">
        <x:v>建任务+扣点同事务；每用户1个活动任务；重投跳过完成variant；资产30天</x:v>
      </x:c>
    </x:row>
    <x:row r="158" ht="68" customHeight="1">
      <x:c r="A158" s="13" t="str">
        <x:v>第 1 期</x:v>
      </x:c>
      <x:c r="B158" s="13" t="str">
        <x:v>2. 图标设计与生成</x:v>
      </x:c>
      <x:c r="C158" s="13" t="str">
        <x:v>GEN-008</x:v>
      </x:c>
      <x:c r="D158" s="13" t="str">
        <x:v>异步生成进度</x:v>
      </x:c>
      <x:c r="E158" s="13" t="str">
        <x:v>FE-PROGRESS-05</x:v>
      </x:c>
      <x:c r="F158" s="13" t="str">
        <x:v>前端</x:v>
      </x:c>
      <x:c r="G158" s="13" t="str">
        <x:v>展示当前主体和完成数</x:v>
      </x:c>
      <x:c r="H158" s="13" t="str">
        <x:v>currentSubject/completed/total</x:v>
      </x:c>
      <x:c r="I158" s="13" t="str">
        <x:v>边界值准确</x:v>
      </x:c>
      <x:c r="J158" s="13" t="str">
        <x:v>—</x:v>
      </x:c>
      <x:c r="K158" s="13" t="str">
        <x:v>待完成</x:v>
      </x:c>
      <x:c r="L158" s="13" t="str">
        <x:v>08-26～08-28</x:v>
      </x:c>
      <x:c r="M158" s="13" t="str">
        <x:v>—</x:v>
      </x:c>
      <x:c r="N158" s="13" t="str">
        <x:v>job/subject/variant/asset均为UUID；创建请求带idempotency_key；记录设置/Skill/模型版本</x:v>
      </x:c>
      <x:c r="O158" s="13" t="str">
        <x:v>job queued/processing/completed/partial/failed；variant queued/processing/completed/failed</x:v>
      </x:c>
      <x:c r="P158" s="13" t="str">
        <x:v>1–20主体、余额不足、内容拦截、超时、部分成功、刷新恢复</x:v>
      </x:c>
      <x:c r="Q158" s="13" t="str">
        <x:v>仅本人读任务；Worker服务端权限；模型密钥不下发</x:v>
      </x:c>
      <x:c r="R158" s="13" t="str">
        <x:v>建任务+扣点同事务；每用户1个活动任务；重投跳过完成variant；资产30天</x:v>
      </x:c>
    </x:row>
    <x:row r="159" ht="68" customHeight="1">
      <x:c r="A159" s="13" t="str">
        <x:v>第 1 期</x:v>
      </x:c>
      <x:c r="B159" s="13" t="str">
        <x:v>2. 图标设计与生成</x:v>
      </x:c>
      <x:c r="C159" s="13" t="str">
        <x:v>GEN-008</x:v>
      </x:c>
      <x:c r="D159" s="13" t="str">
        <x:v>异步生成进度</x:v>
      </x:c>
      <x:c r="E159" s="13" t="str">
        <x:v>FE-PROGRESS-06</x:v>
      </x:c>
      <x:c r="F159" s="13" t="str">
        <x:v>前端</x:v>
      </x:c>
      <x:c r="G159" s="13" t="str">
        <x:v>实现断网恢复</x:v>
      </x:c>
      <x:c r="H159" s="13" t="str">
        <x:v>重连后继续查询</x:v>
      </x:c>
      <x:c r="I159" s="13" t="str">
        <x:v>不会重新创建任务</x:v>
      </x:c>
      <x:c r="J159" s="13" t="str">
        <x:v>—</x:v>
      </x:c>
      <x:c r="K159" s="13" t="str">
        <x:v>待完成</x:v>
      </x:c>
      <x:c r="L159" s="13" t="str">
        <x:v>08-26～08-28</x:v>
      </x:c>
      <x:c r="M159" s="13" t="str">
        <x:v>—</x:v>
      </x:c>
      <x:c r="N159" s="13" t="str">
        <x:v>job/subject/variant/asset均为UUID；创建请求带idempotency_key；记录设置/Skill/模型版本</x:v>
      </x:c>
      <x:c r="O159" s="13" t="str">
        <x:v>job queued/processing/completed/partial/failed；variant queued/processing/completed/failed</x:v>
      </x:c>
      <x:c r="P159" s="13" t="str">
        <x:v>1–20主体、余额不足、内容拦截、超时、部分成功、刷新恢复</x:v>
      </x:c>
      <x:c r="Q159" s="13" t="str">
        <x:v>仅本人读任务；Worker服务端权限；模型密钥不下发</x:v>
      </x:c>
      <x:c r="R159" s="13" t="str">
        <x:v>建任务+扣点同事务；每用户1个活动任务；重投跳过完成variant；资产30天</x:v>
      </x:c>
    </x:row>
    <x:row r="160" ht="68" customHeight="1">
      <x:c r="A160" s="13" t="str">
        <x:v>第 1 期</x:v>
      </x:c>
      <x:c r="B160" s="13" t="str">
        <x:v>2. 图标设计与生成</x:v>
      </x:c>
      <x:c r="C160" s="13" t="str">
        <x:v>GEN-008</x:v>
      </x:c>
      <x:c r="D160" s="13" t="str">
        <x:v>异步生成进度</x:v>
      </x:c>
      <x:c r="E160" s="13" t="str">
        <x:v>FE-PROGRESS-07</x:v>
      </x:c>
      <x:c r="F160" s="13" t="str">
        <x:v>前端</x:v>
      </x:c>
      <x:c r="G160" s="13" t="str">
        <x:v>接入生成进度区服务端接口</x:v>
      </x:c>
      <x:c r="H160" s="13" t="str">
        <x:v>GET /api/generation/jobs/{jobId}客户端适配器</x:v>
      </x:c>
      <x:c r="I160" s="13" t="str">
        <x:v>请求字段与共享Schema一致；不在组件内拼装不受控请求</x:v>
      </x:c>
      <x:c r="J160" s="13" t="str">
        <x:v>FE-PROGRESS-02</x:v>
      </x:c>
      <x:c r="K160" s="13" t="str">
        <x:v>待完成</x:v>
      </x:c>
      <x:c r="L160" s="13" t="str">
        <x:v>08-26～08-28</x:v>
      </x:c>
      <x:c r="M160" s="13" t="str">
        <x:v>—</x:v>
      </x:c>
      <x:c r="N160" s="13" t="str">
        <x:v>job/subject/variant/asset均为UUID；创建请求带idempotency_key；记录设置/Skill/模型版本</x:v>
      </x:c>
      <x:c r="O160" s="13" t="str">
        <x:v>job queued/processing/completed/partial/failed；variant queued/processing/completed/failed</x:v>
      </x:c>
      <x:c r="P160" s="13" t="str">
        <x:v>1–20主体、余额不足、内容拦截、超时、部分成功、刷新恢复</x:v>
      </x:c>
      <x:c r="Q160" s="13" t="str">
        <x:v>仅本人读任务；Worker服务端权限；模型密钥不下发</x:v>
      </x:c>
      <x:c r="R160" s="13" t="str">
        <x:v>建任务+扣点同事务；每用户1个活动任务；重投跳过完成variant；资产30天</x:v>
      </x:c>
    </x:row>
    <x:row r="161" ht="68" customHeight="1">
      <x:c r="A161" s="13" t="str">
        <x:v>第 1 期</x:v>
      </x:c>
      <x:c r="B161" s="13" t="str">
        <x:v>2. 图标设计与生成</x:v>
      </x:c>
      <x:c r="C161" s="13" t="str">
        <x:v>GEN-008</x:v>
      </x:c>
      <x:c r="D161" s="13" t="str">
        <x:v>异步生成进度</x:v>
      </x:c>
      <x:c r="E161" s="13" t="str">
        <x:v>FE-PROGRESS-08</x:v>
      </x:c>
      <x:c r="F161" s="13" t="str">
        <x:v>前端</x:v>
      </x:c>
      <x:c r="G161" s="13" t="str">
        <x:v>实现生成进度区加载状态</x:v>
      </x:c>
      <x:c r="H161" s="13" t="str">
        <x:v>骨架屏或进度反馈</x:v>
      </x:c>
      <x:c r="I161" s="13" t="str">
        <x:v>请求期间有可感知反馈；重复操作被禁用</x:v>
      </x:c>
      <x:c r="J161" s="13" t="str">
        <x:v>FE-PROGRESS-02</x:v>
      </x:c>
      <x:c r="K161" s="13" t="str">
        <x:v>待完成</x:v>
      </x:c>
      <x:c r="L161" s="13" t="str">
        <x:v>08-26～08-28</x:v>
      </x:c>
      <x:c r="M161" s="13" t="str">
        <x:v>—</x:v>
      </x:c>
      <x:c r="N161" s="13" t="str">
        <x:v>job/subject/variant/asset均为UUID；创建请求带idempotency_key；记录设置/Skill/模型版本</x:v>
      </x:c>
      <x:c r="O161" s="13" t="str">
        <x:v>job queued/processing/completed/partial/failed；variant queued/processing/completed/failed</x:v>
      </x:c>
      <x:c r="P161" s="13" t="str">
        <x:v>1–20主体、余额不足、内容拦截、超时、部分成功、刷新恢复</x:v>
      </x:c>
      <x:c r="Q161" s="13" t="str">
        <x:v>仅本人读任务；Worker服务端权限；模型密钥不下发</x:v>
      </x:c>
      <x:c r="R161" s="13" t="str">
        <x:v>建任务+扣点同事务；每用户1个活动任务；重投跳过完成variant；资产30天</x:v>
      </x:c>
    </x:row>
    <x:row r="162" ht="68" customHeight="1">
      <x:c r="A162" s="13" t="str">
        <x:v>第 1 期</x:v>
      </x:c>
      <x:c r="B162" s="13" t="str">
        <x:v>2. 图标设计与生成</x:v>
      </x:c>
      <x:c r="C162" s="13" t="str">
        <x:v>GEN-008</x:v>
      </x:c>
      <x:c r="D162" s="13" t="str">
        <x:v>异步生成进度</x:v>
      </x:c>
      <x:c r="E162" s="13" t="str">
        <x:v>FE-PROGRESS-09</x:v>
      </x:c>
      <x:c r="F162" s="13" t="str">
        <x:v>前端</x:v>
      </x:c>
      <x:c r="G162" s="13" t="str">
        <x:v>实现生成进度区错误映射</x:v>
      </x:c>
      <x:c r="H162" s="13" t="str">
        <x:v>稳定错误码到双语用户文案的映射</x:v>
      </x:c>
      <x:c r="I162" s="13" t="str">
        <x:v>业务错误可恢复；未知错误不泄露内部信息</x:v>
      </x:c>
      <x:c r="J162" s="13" t="str">
        <x:v>FE-PROGRESS-02</x:v>
      </x:c>
      <x:c r="K162" s="13" t="str">
        <x:v>待完成</x:v>
      </x:c>
      <x:c r="L162" s="13" t="str">
        <x:v>08-26～08-28</x:v>
      </x:c>
      <x:c r="M162" s="13" t="str">
        <x:v>—</x:v>
      </x:c>
      <x:c r="N162" s="13" t="str">
        <x:v>job/subject/variant/asset均为UUID；创建请求带idempotency_key；记录设置/Skill/模型版本</x:v>
      </x:c>
      <x:c r="O162" s="13" t="str">
        <x:v>job queued/processing/completed/partial/failed；variant queued/processing/completed/failed</x:v>
      </x:c>
      <x:c r="P162" s="13" t="str">
        <x:v>1–20主体、余额不足、内容拦截、超时、部分成功、刷新恢复</x:v>
      </x:c>
      <x:c r="Q162" s="13" t="str">
        <x:v>仅本人读任务；Worker服务端权限；模型密钥不下发</x:v>
      </x:c>
      <x:c r="R162" s="13" t="str">
        <x:v>建任务+扣点同事务；每用户1个活动任务；重投跳过完成variant；资产30天</x:v>
      </x:c>
    </x:row>
    <x:row r="163" ht="68" customHeight="1">
      <x:c r="A163" s="13" t="str">
        <x:v>第 1 期</x:v>
      </x:c>
      <x:c r="B163" s="13" t="str">
        <x:v>2. 图标设计与生成</x:v>
      </x:c>
      <x:c r="C163" s="13" t="str">
        <x:v>GEN-008</x:v>
      </x:c>
      <x:c r="D163" s="13" t="str">
        <x:v>异步生成进度</x:v>
      </x:c>
      <x:c r="E163" s="13" t="str">
        <x:v>FE-PROGRESS-10</x:v>
      </x:c>
      <x:c r="F163" s="13" t="str">
        <x:v>前端</x:v>
      </x:c>
      <x:c r="G163" s="13" t="str">
        <x:v>完成生成进度区中英文文案</x:v>
      </x:c>
      <x:c r="H163" s="13" t="str">
        <x:v>en/zh词条</x:v>
      </x:c>
      <x:c r="I163" s="13" t="str">
        <x:v>切换语言后字段含义、按钮和错误保持一致</x:v>
      </x:c>
      <x:c r="J163" s="13" t="str">
        <x:v>—</x:v>
      </x:c>
      <x:c r="K163" s="13" t="str">
        <x:v>待完成</x:v>
      </x:c>
      <x:c r="L163" s="13" t="str">
        <x:v>08-26～08-28</x:v>
      </x:c>
      <x:c r="M163" s="13" t="str">
        <x:v>—</x:v>
      </x:c>
      <x:c r="N163" s="13" t="str">
        <x:v>job/subject/variant/asset均为UUID；创建请求带idempotency_key；记录设置/Skill/模型版本</x:v>
      </x:c>
      <x:c r="O163" s="13" t="str">
        <x:v>job queued/processing/completed/partial/failed；variant queued/processing/completed/failed</x:v>
      </x:c>
      <x:c r="P163" s="13" t="str">
        <x:v>1–20主体、余额不足、内容拦截、超时、部分成功、刷新恢复</x:v>
      </x:c>
      <x:c r="Q163" s="13" t="str">
        <x:v>仅本人读任务；Worker服务端权限；模型密钥不下发</x:v>
      </x:c>
      <x:c r="R163" s="13" t="str">
        <x:v>建任务+扣点同事务；每用户1个活动任务；重投跳过完成variant；资产30天</x:v>
      </x:c>
    </x:row>
    <x:row r="164" ht="68" customHeight="1">
      <x:c r="A164" s="13" t="str">
        <x:v>第 1 期</x:v>
      </x:c>
      <x:c r="B164" s="13" t="str">
        <x:v>2. 图标设计与生成</x:v>
      </x:c>
      <x:c r="C164" s="13" t="str">
        <x:v>GEN-008</x:v>
      </x:c>
      <x:c r="D164" s="13" t="str">
        <x:v>异步生成进度</x:v>
      </x:c>
      <x:c r="E164" s="13" t="str">
        <x:v>FE-PROGRESS-11</x:v>
      </x:c>
      <x:c r="F164" s="13" t="str">
        <x:v>前端</x:v>
      </x:c>
      <x:c r="G164" s="13" t="str">
        <x:v>完成生成进度区键盘与屏幕阅读器支持</x:v>
      </x:c>
      <x:c r="H164" s="13" t="str">
        <x:v>语义标签、焦点顺序、aria-live</x:v>
      </x:c>
      <x:c r="I164" s="13" t="str">
        <x:v>仅键盘可完成主流程；错误与状态可被读出</x:v>
      </x:c>
      <x:c r="J164" s="13" t="str">
        <x:v>—</x:v>
      </x:c>
      <x:c r="K164" s="13" t="str">
        <x:v>待完成</x:v>
      </x:c>
      <x:c r="L164" s="13" t="str">
        <x:v>08-26～08-28</x:v>
      </x:c>
      <x:c r="M164" s="13" t="str">
        <x:v>—</x:v>
      </x:c>
      <x:c r="N164" s="13" t="str">
        <x:v>job/subject/variant/asset均为UUID；创建请求带idempotency_key；记录设置/Skill/模型版本</x:v>
      </x:c>
      <x:c r="O164" s="13" t="str">
        <x:v>job queued/processing/completed/partial/failed；variant queued/processing/completed/failed</x:v>
      </x:c>
      <x:c r="P164" s="13" t="str">
        <x:v>1–20主体、余额不足、内容拦截、超时、部分成功、刷新恢复</x:v>
      </x:c>
      <x:c r="Q164" s="13" t="str">
        <x:v>仅本人读任务；Worker服务端权限；模型密钥不下发</x:v>
      </x:c>
      <x:c r="R164" s="13" t="str">
        <x:v>建任务+扣点同事务；每用户1个活动任务；重投跳过完成variant；资产30天</x:v>
      </x:c>
    </x:row>
    <x:row r="165" ht="68" customHeight="1">
      <x:c r="A165" s="13" t="str">
        <x:v>第 1 期</x:v>
      </x:c>
      <x:c r="B165" s="13" t="str">
        <x:v>2. 图标设计与生成</x:v>
      </x:c>
      <x:c r="C165" s="13" t="str">
        <x:v>GEN-008</x:v>
      </x:c>
      <x:c r="D165" s="13" t="str">
        <x:v>异步生成进度</x:v>
      </x:c>
      <x:c r="E165" s="13" t="str">
        <x:v>FE-PROGRESS-12</x:v>
      </x:c>
      <x:c r="F165" s="13" t="str">
        <x:v>前端</x:v>
      </x:c>
      <x:c r="G165" s="13" t="str">
        <x:v>编写生成进度区组件测试</x:v>
      </x:c>
      <x:c r="H165" s="13" t="str">
        <x:v>组件与交互测试</x:v>
      </x:c>
      <x:c r="I165" s="13" t="str">
        <x:v>覆盖成功、校验失败、服务端失败和重复点击</x:v>
      </x:c>
      <x:c r="J165" s="13" t="str">
        <x:v>—</x:v>
      </x:c>
      <x:c r="K165" s="13" t="str">
        <x:v>待完成</x:v>
      </x:c>
      <x:c r="L165" s="13" t="str">
        <x:v>08-26～08-28</x:v>
      </x:c>
      <x:c r="M165" s="13" t="str">
        <x:v>—</x:v>
      </x:c>
      <x:c r="N165" s="13" t="str">
        <x:v>job/subject/variant/asset均为UUID；创建请求带idempotency_key；记录设置/Skill/模型版本</x:v>
      </x:c>
      <x:c r="O165" s="13" t="str">
        <x:v>job queued/processing/completed/partial/failed；variant queued/processing/completed/failed</x:v>
      </x:c>
      <x:c r="P165" s="13" t="str">
        <x:v>1–20主体、余额不足、内容拦截、超时、部分成功、刷新恢复</x:v>
      </x:c>
      <x:c r="Q165" s="13" t="str">
        <x:v>仅本人读任务；Worker服务端权限；模型密钥不下发</x:v>
      </x:c>
      <x:c r="R165" s="13" t="str">
        <x:v>建任务+扣点同事务；每用户1个活动任务；重投跳过完成variant；资产30天</x:v>
      </x:c>
    </x:row>
    <x:row r="166" ht="68" customHeight="1">
      <x:c r="A166" s="13" t="str">
        <x:v>第 2 期</x:v>
      </x:c>
      <x:c r="B166" s="13" t="str">
        <x:v>2. 图标设计与生成</x:v>
      </x:c>
      <x:c r="C166" s="13" t="str">
        <x:v>GEN-010</x:v>
      </x:c>
      <x:c r="D166" s="13" t="str">
        <x:v>结果网格与选择</x:v>
      </x:c>
      <x:c r="E166" s="13" t="str">
        <x:v>FE-RESULTS-01</x:v>
      </x:c>
      <x:c r="F166" s="13" t="str">
        <x:v>前端</x:v>
      </x:c>
      <x:c r="G166" s="13" t="str">
        <x:v>建立结果详情页路由与页面边界</x:v>
      </x:c>
      <x:c r="H166" s="13" t="str">
        <x:v>结果详情页路由、页面组件和Metadata</x:v>
      </x:c>
      <x:c r="I166" s="13" t="str">
        <x:v>直接访问路由可渲染；未授权跳转符合PRD；无运行时错误</x:v>
      </x:c>
      <x:c r="J166" s="13" t="str">
        <x:v>—</x:v>
      </x:c>
      <x:c r="K166" s="13" t="str">
        <x:v>待完成</x:v>
      </x:c>
      <x:c r="L166" s="13" t="str">
        <x:v>09-03～09-06</x:v>
      </x:c>
      <x:c r="M166" s="13" t="str">
        <x:v>—</x:v>
      </x:c>
      <x:c r="N166" s="13" t="str">
        <x:v>job/subject/variant/asset均为UUID；创建请求带idempotency_key；记录设置/Skill/模型版本</x:v>
      </x:c>
      <x:c r="O166" s="13" t="str">
        <x:v>job queued/processing/completed/partial/failed；variant queued/processing/completed/failed</x:v>
      </x:c>
      <x:c r="P166" s="13" t="str">
        <x:v>1–20主体、余额不足、内容拦截、超时、部分成功、刷新恢复</x:v>
      </x:c>
      <x:c r="Q166" s="13" t="str">
        <x:v>仅本人读任务；Worker服务端权限；模型密钥不下发</x:v>
      </x:c>
      <x:c r="R166" s="13" t="str">
        <x:v>建任务+扣点同事务；每用户1个活动任务；重投跳过完成variant；资产30天</x:v>
      </x:c>
    </x:row>
    <x:row r="167" ht="68" customHeight="1">
      <x:c r="A167" s="13" t="str">
        <x:v>第 2 期</x:v>
      </x:c>
      <x:c r="B167" s="13" t="str">
        <x:v>2. 图标设计与生成</x:v>
      </x:c>
      <x:c r="C167" s="13" t="str">
        <x:v>GEN-010</x:v>
      </x:c>
      <x:c r="D167" s="13" t="str">
        <x:v>结果网格与选择</x:v>
      </x:c>
      <x:c r="E167" s="13" t="str">
        <x:v>FE-RESULTS-02</x:v>
      </x:c>
      <x:c r="F167" s="13" t="str">
        <x:v>前端</x:v>
      </x:c>
      <x:c r="G167" s="13" t="str">
        <x:v>定义结果详情页页面状态模型</x:v>
      </x:c>
      <x:c r="H167" s="13" t="str">
        <x:v>页面状态类型与初始化逻辑</x:v>
      </x:c>
      <x:c r="I167" s="13" t="str">
        <x:v>每个状态只有一个含义；刷新后可恢复服务端状态</x:v>
      </x:c>
      <x:c r="J167" s="13" t="str">
        <x:v>FE-RESULTS-01</x:v>
      </x:c>
      <x:c r="K167" s="13" t="str">
        <x:v>待完成</x:v>
      </x:c>
      <x:c r="L167" s="13" t="str">
        <x:v>09-03～09-06</x:v>
      </x:c>
      <x:c r="M167" s="13" t="str">
        <x:v>—</x:v>
      </x:c>
      <x:c r="N167" s="13" t="str">
        <x:v>job/subject/variant/asset均为UUID；创建请求带idempotency_key；记录设置/Skill/模型版本</x:v>
      </x:c>
      <x:c r="O167" s="13" t="str">
        <x:v>job queued/processing/completed/partial/failed；variant queued/processing/completed/failed</x:v>
      </x:c>
      <x:c r="P167" s="13" t="str">
        <x:v>1–20主体、余额不足、内容拦截、超时、部分成功、刷新恢复</x:v>
      </x:c>
      <x:c r="Q167" s="13" t="str">
        <x:v>仅本人读任务；Worker服务端权限；模型密钥不下发</x:v>
      </x:c>
      <x:c r="R167" s="13" t="str">
        <x:v>建任务+扣点同事务；每用户1个活动任务；重投跳过完成variant；资产30天</x:v>
      </x:c>
    </x:row>
    <x:row r="168" ht="68" customHeight="1">
      <x:c r="A168" s="13" t="str">
        <x:v>第 2 期</x:v>
      </x:c>
      <x:c r="B168" s="13" t="str">
        <x:v>2. 图标设计与生成</x:v>
      </x:c>
      <x:c r="C168" s="13" t="str">
        <x:v>GEN-010</x:v>
      </x:c>
      <x:c r="D168" s="13" t="str">
        <x:v>结果网格与选择</x:v>
      </x:c>
      <x:c r="E168" s="13" t="str">
        <x:v>FE-RESULTS-03</x:v>
      </x:c>
      <x:c r="F168" s="13" t="str">
        <x:v>前端</x:v>
      </x:c>
      <x:c r="G168" s="13" t="str">
        <x:v>按主体分组渲染</x:v>
      </x:c>
      <x:c r="H168" s="13" t="str">
        <x:v>每主体独占一行</x:v>
      </x:c>
      <x:c r="I168" s="13" t="str">
        <x:v>顺序与提交一致</x:v>
      </x:c>
      <x:c r="J168" s="13" t="str">
        <x:v>—</x:v>
      </x:c>
      <x:c r="K168" s="13" t="str">
        <x:v>待完成</x:v>
      </x:c>
      <x:c r="L168" s="13" t="str">
        <x:v>09-03～09-06</x:v>
      </x:c>
      <x:c r="M168" s="13" t="str">
        <x:v>—</x:v>
      </x:c>
      <x:c r="N168" s="13" t="str">
        <x:v>job/subject/variant/asset均为UUID；创建请求带idempotency_key；记录设置/Skill/模型版本</x:v>
      </x:c>
      <x:c r="O168" s="13" t="str">
        <x:v>job queued/processing/completed/partial/failed；variant queued/processing/completed/failed</x:v>
      </x:c>
      <x:c r="P168" s="13" t="str">
        <x:v>1–20主体、余额不足、内容拦截、超时、部分成功、刷新恢复</x:v>
      </x:c>
      <x:c r="Q168" s="13" t="str">
        <x:v>仅本人读任务；Worker服务端权限；模型密钥不下发</x:v>
      </x:c>
      <x:c r="R168" s="13" t="str">
        <x:v>建任务+扣点同事务；每用户1个活动任务；重投跳过完成variant；资产30天</x:v>
      </x:c>
    </x:row>
    <x:row r="169" ht="68" customHeight="1">
      <x:c r="A169" s="13" t="str">
        <x:v>第 2 期</x:v>
      </x:c>
      <x:c r="B169" s="13" t="str">
        <x:v>2. 图标设计与生成</x:v>
      </x:c>
      <x:c r="C169" s="13" t="str">
        <x:v>GEN-010</x:v>
      </x:c>
      <x:c r="D169" s="13" t="str">
        <x:v>结果网格与选择</x:v>
      </x:c>
      <x:c r="E169" s="13" t="str">
        <x:v>FE-RESULTS-04</x:v>
      </x:c>
      <x:c r="F169" s="13" t="str">
        <x:v>前端</x:v>
      </x:c>
      <x:c r="G169" s="13" t="str">
        <x:v>每主体渲染3方案</x:v>
      </x:c>
      <x:c r="H169" s="13" t="str">
        <x:v>固定slot 1/2/3</x:v>
      </x:c>
      <x:c r="I169" s="13" t="str">
        <x:v>缺失方案显示失败占位</x:v>
      </x:c>
      <x:c r="J169" s="13" t="str">
        <x:v>—</x:v>
      </x:c>
      <x:c r="K169" s="13" t="str">
        <x:v>待完成</x:v>
      </x:c>
      <x:c r="L169" s="13" t="str">
        <x:v>09-03～09-06</x:v>
      </x:c>
      <x:c r="M169" s="13" t="str">
        <x:v>—</x:v>
      </x:c>
      <x:c r="N169" s="13" t="str">
        <x:v>job/subject/variant/asset均为UUID；创建请求带idempotency_key；记录设置/Skill/模型版本</x:v>
      </x:c>
      <x:c r="O169" s="13" t="str">
        <x:v>job queued/processing/completed/partial/failed；variant queued/processing/completed/failed</x:v>
      </x:c>
      <x:c r="P169" s="13" t="str">
        <x:v>1–20主体、余额不足、内容拦截、超时、部分成功、刷新恢复</x:v>
      </x:c>
      <x:c r="Q169" s="13" t="str">
        <x:v>仅本人读任务；Worker服务端权限；模型密钥不下发</x:v>
      </x:c>
      <x:c r="R169" s="13" t="str">
        <x:v>建任务+扣点同事务；每用户1个活动任务；重投跳过完成variant；资产30天</x:v>
      </x:c>
    </x:row>
    <x:row r="170" ht="68" customHeight="1">
      <x:c r="A170" s="13" t="str">
        <x:v>第 2 期</x:v>
      </x:c>
      <x:c r="B170" s="13" t="str">
        <x:v>2. 图标设计与生成</x:v>
      </x:c>
      <x:c r="C170" s="13" t="str">
        <x:v>GEN-010</x:v>
      </x:c>
      <x:c r="D170" s="13" t="str">
        <x:v>结果网格与选择</x:v>
      </x:c>
      <x:c r="E170" s="13" t="str">
        <x:v>FE-RESULTS-05</x:v>
      </x:c>
      <x:c r="F170" s="13" t="str">
        <x:v>前端</x:v>
      </x:c>
      <x:c r="G170" s="13" t="str">
        <x:v>实现多选方案</x:v>
      </x:c>
      <x:c r="H170" s="13" t="str">
        <x:v>同主体允许多选</x:v>
      </x:c>
      <x:c r="I170" s="13" t="str">
        <x:v>选择刷新后可恢复</x:v>
      </x:c>
      <x:c r="J170" s="13" t="str">
        <x:v>—</x:v>
      </x:c>
      <x:c r="K170" s="13" t="str">
        <x:v>待完成</x:v>
      </x:c>
      <x:c r="L170" s="13" t="str">
        <x:v>09-03～09-06</x:v>
      </x:c>
      <x:c r="M170" s="13" t="str">
        <x:v>—</x:v>
      </x:c>
      <x:c r="N170" s="13" t="str">
        <x:v>job/subject/variant/asset均为UUID；创建请求带idempotency_key；记录设置/Skill/模型版本</x:v>
      </x:c>
      <x:c r="O170" s="13" t="str">
        <x:v>job queued/processing/completed/partial/failed；variant queued/processing/completed/failed</x:v>
      </x:c>
      <x:c r="P170" s="13" t="str">
        <x:v>1–20主体、余额不足、内容拦截、超时、部分成功、刷新恢复</x:v>
      </x:c>
      <x:c r="Q170" s="13" t="str">
        <x:v>仅本人读任务；Worker服务端权限；模型密钥不下发</x:v>
      </x:c>
      <x:c r="R170" s="13" t="str">
        <x:v>建任务+扣点同事务；每用户1个活动任务；重投跳过完成variant；资产30天</x:v>
      </x:c>
    </x:row>
    <x:row r="171" ht="68" customHeight="1">
      <x:c r="A171" s="13" t="str">
        <x:v>第 2 期</x:v>
      </x:c>
      <x:c r="B171" s="13" t="str">
        <x:v>2. 图标设计与生成</x:v>
      </x:c>
      <x:c r="C171" s="13" t="str">
        <x:v>GEN-010</x:v>
      </x:c>
      <x:c r="D171" s="13" t="str">
        <x:v>结果网格与选择</x:v>
      </x:c>
      <x:c r="E171" s="13" t="str">
        <x:v>FE-RESULTS-06</x:v>
      </x:c>
      <x:c r="F171" s="13" t="str">
        <x:v>前端</x:v>
      </x:c>
      <x:c r="G171" s="13" t="str">
        <x:v>实现首选方案</x:v>
      </x:c>
      <x:c r="H171" s="13" t="str">
        <x:v>每主体最多一个primary</x:v>
      </x:c>
      <x:c r="I171" s="13" t="str">
        <x:v>切换后服务端持久化</x:v>
      </x:c>
      <x:c r="J171" s="13" t="str">
        <x:v>—</x:v>
      </x:c>
      <x:c r="K171" s="13" t="str">
        <x:v>待完成</x:v>
      </x:c>
      <x:c r="L171" s="13" t="str">
        <x:v>09-03～09-06</x:v>
      </x:c>
      <x:c r="M171" s="13" t="str">
        <x:v>—</x:v>
      </x:c>
      <x:c r="N171" s="13" t="str">
        <x:v>job/subject/variant/asset均为UUID；创建请求带idempotency_key；记录设置/Skill/模型版本</x:v>
      </x:c>
      <x:c r="O171" s="13" t="str">
        <x:v>job queued/processing/completed/partial/failed；variant queued/processing/completed/failed</x:v>
      </x:c>
      <x:c r="P171" s="13" t="str">
        <x:v>1–20主体、余额不足、内容拦截、超时、部分成功、刷新恢复</x:v>
      </x:c>
      <x:c r="Q171" s="13" t="str">
        <x:v>仅本人读任务；Worker服务端权限；模型密钥不下发</x:v>
      </x:c>
      <x:c r="R171" s="13" t="str">
        <x:v>建任务+扣点同事务；每用户1个活动任务；重投跳过完成variant；资产30天</x:v>
      </x:c>
    </x:row>
    <x:row r="172" ht="68" customHeight="1">
      <x:c r="A172" s="13" t="str">
        <x:v>第 2 期</x:v>
      </x:c>
      <x:c r="B172" s="13" t="str">
        <x:v>2. 图标设计与生成</x:v>
      </x:c>
      <x:c r="C172" s="13" t="str">
        <x:v>GEN-010</x:v>
      </x:c>
      <x:c r="D172" s="13" t="str">
        <x:v>结果网格与选择</x:v>
      </x:c>
      <x:c r="E172" s="13" t="str">
        <x:v>FE-RESULTS-07</x:v>
      </x:c>
      <x:c r="F172" s="13" t="str">
        <x:v>前端</x:v>
      </x:c>
      <x:c r="G172" s="13" t="str">
        <x:v>显示partial与退款提示</x:v>
      </x:c>
      <x:c r="H172" s="13" t="str">
        <x:v>主体级失败和返还状态</x:v>
      </x:c>
      <x:c r="I172" s="13" t="str">
        <x:v>金额与creditSummary一致</x:v>
      </x:c>
      <x:c r="J172" s="13" t="str">
        <x:v>—</x:v>
      </x:c>
      <x:c r="K172" s="13" t="str">
        <x:v>待完成</x:v>
      </x:c>
      <x:c r="L172" s="13" t="str">
        <x:v>09-03～09-06</x:v>
      </x:c>
      <x:c r="M172" s="13" t="str">
        <x:v>—</x:v>
      </x:c>
      <x:c r="N172" s="13" t="str">
        <x:v>job/subject/variant/asset均为UUID；创建请求带idempotency_key；记录设置/Skill/模型版本</x:v>
      </x:c>
      <x:c r="O172" s="13" t="str">
        <x:v>job queued/processing/completed/partial/failed；variant queued/processing/completed/failed</x:v>
      </x:c>
      <x:c r="P172" s="13" t="str">
        <x:v>1–20主体、余额不足、内容拦截、超时、部分成功、刷新恢复</x:v>
      </x:c>
      <x:c r="Q172" s="13" t="str">
        <x:v>仅本人读任务；Worker服务端权限；模型密钥不下发</x:v>
      </x:c>
      <x:c r="R172" s="13" t="str">
        <x:v>建任务+扣点同事务；每用户1个活动任务；重投跳过完成variant；资产30天</x:v>
      </x:c>
    </x:row>
    <x:row r="173" ht="68" customHeight="1">
      <x:c r="A173" s="13" t="str">
        <x:v>第 2 期</x:v>
      </x:c>
      <x:c r="B173" s="13" t="str">
        <x:v>2. 图标设计与生成</x:v>
      </x:c>
      <x:c r="C173" s="13" t="str">
        <x:v>GEN-010</x:v>
      </x:c>
      <x:c r="D173" s="13" t="str">
        <x:v>结果网格与选择</x:v>
      </x:c>
      <x:c r="E173" s="13" t="str">
        <x:v>FE-RESULTS-08</x:v>
      </x:c>
      <x:c r="F173" s="13" t="str">
        <x:v>前端</x:v>
      </x:c>
      <x:c r="G173" s="13" t="str">
        <x:v>接入结果详情页服务端接口</x:v>
      </x:c>
      <x:c r="H173" s="13" t="str">
        <x:v>job detail+primary API客户端适配器</x:v>
      </x:c>
      <x:c r="I173" s="13" t="str">
        <x:v>请求字段与共享Schema一致；不在组件内拼装不受控请求</x:v>
      </x:c>
      <x:c r="J173" s="13" t="str">
        <x:v>FE-RESULTS-02</x:v>
      </x:c>
      <x:c r="K173" s="13" t="str">
        <x:v>待完成</x:v>
      </x:c>
      <x:c r="L173" s="13" t="str">
        <x:v>09-03～09-06</x:v>
      </x:c>
      <x:c r="M173" s="13" t="str">
        <x:v>—</x:v>
      </x:c>
      <x:c r="N173" s="13" t="str">
        <x:v>job/subject/variant/asset均为UUID；创建请求带idempotency_key；记录设置/Skill/模型版本</x:v>
      </x:c>
      <x:c r="O173" s="13" t="str">
        <x:v>job queued/processing/completed/partial/failed；variant queued/processing/completed/failed</x:v>
      </x:c>
      <x:c r="P173" s="13" t="str">
        <x:v>1–20主体、余额不足、内容拦截、超时、部分成功、刷新恢复</x:v>
      </x:c>
      <x:c r="Q173" s="13" t="str">
        <x:v>仅本人读任务；Worker服务端权限；模型密钥不下发</x:v>
      </x:c>
      <x:c r="R173" s="13" t="str">
        <x:v>建任务+扣点同事务；每用户1个活动任务；重投跳过完成variant；资产30天</x:v>
      </x:c>
    </x:row>
    <x:row r="174" ht="68" customHeight="1">
      <x:c r="A174" s="13" t="str">
        <x:v>第 2 期</x:v>
      </x:c>
      <x:c r="B174" s="13" t="str">
        <x:v>2. 图标设计与生成</x:v>
      </x:c>
      <x:c r="C174" s="13" t="str">
        <x:v>GEN-010</x:v>
      </x:c>
      <x:c r="D174" s="13" t="str">
        <x:v>结果网格与选择</x:v>
      </x:c>
      <x:c r="E174" s="13" t="str">
        <x:v>FE-RESULTS-09</x:v>
      </x:c>
      <x:c r="F174" s="13" t="str">
        <x:v>前端</x:v>
      </x:c>
      <x:c r="G174" s="13" t="str">
        <x:v>实现结果详情页加载状态</x:v>
      </x:c>
      <x:c r="H174" s="13" t="str">
        <x:v>骨架屏或进度反馈</x:v>
      </x:c>
      <x:c r="I174" s="13" t="str">
        <x:v>请求期间有可感知反馈；重复操作被禁用</x:v>
      </x:c>
      <x:c r="J174" s="13" t="str">
        <x:v>FE-RESULTS-02</x:v>
      </x:c>
      <x:c r="K174" s="13" t="str">
        <x:v>待完成</x:v>
      </x:c>
      <x:c r="L174" s="13" t="str">
        <x:v>09-03～09-06</x:v>
      </x:c>
      <x:c r="M174" s="13" t="str">
        <x:v>—</x:v>
      </x:c>
      <x:c r="N174" s="13" t="str">
        <x:v>job/subject/variant/asset均为UUID；创建请求带idempotency_key；记录设置/Skill/模型版本</x:v>
      </x:c>
      <x:c r="O174" s="13" t="str">
        <x:v>job queued/processing/completed/partial/failed；variant queued/processing/completed/failed</x:v>
      </x:c>
      <x:c r="P174" s="13" t="str">
        <x:v>1–20主体、余额不足、内容拦截、超时、部分成功、刷新恢复</x:v>
      </x:c>
      <x:c r="Q174" s="13" t="str">
        <x:v>仅本人读任务；Worker服务端权限；模型密钥不下发</x:v>
      </x:c>
      <x:c r="R174" s="13" t="str">
        <x:v>建任务+扣点同事务；每用户1个活动任务；重投跳过完成variant；资产30天</x:v>
      </x:c>
    </x:row>
    <x:row r="175" ht="68" customHeight="1">
      <x:c r="A175" s="13" t="str">
        <x:v>第 2 期</x:v>
      </x:c>
      <x:c r="B175" s="13" t="str">
        <x:v>2. 图标设计与生成</x:v>
      </x:c>
      <x:c r="C175" s="13" t="str">
        <x:v>GEN-010</x:v>
      </x:c>
      <x:c r="D175" s="13" t="str">
        <x:v>结果网格与选择</x:v>
      </x:c>
      <x:c r="E175" s="13" t="str">
        <x:v>FE-RESULTS-10</x:v>
      </x:c>
      <x:c r="F175" s="13" t="str">
        <x:v>前端</x:v>
      </x:c>
      <x:c r="G175" s="13" t="str">
        <x:v>实现结果详情页错误映射</x:v>
      </x:c>
      <x:c r="H175" s="13" t="str">
        <x:v>稳定错误码到双语用户文案的映射</x:v>
      </x:c>
      <x:c r="I175" s="13" t="str">
        <x:v>业务错误可恢复；未知错误不泄露内部信息</x:v>
      </x:c>
      <x:c r="J175" s="13" t="str">
        <x:v>FE-RESULTS-02</x:v>
      </x:c>
      <x:c r="K175" s="13" t="str">
        <x:v>待完成</x:v>
      </x:c>
      <x:c r="L175" s="13" t="str">
        <x:v>09-03～09-06</x:v>
      </x:c>
      <x:c r="M175" s="13" t="str">
        <x:v>—</x:v>
      </x:c>
      <x:c r="N175" s="13" t="str">
        <x:v>job/subject/variant/asset均为UUID；创建请求带idempotency_key；记录设置/Skill/模型版本</x:v>
      </x:c>
      <x:c r="O175" s="13" t="str">
        <x:v>job queued/processing/completed/partial/failed；variant queued/processing/completed/failed</x:v>
      </x:c>
      <x:c r="P175" s="13" t="str">
        <x:v>1–20主体、余额不足、内容拦截、超时、部分成功、刷新恢复</x:v>
      </x:c>
      <x:c r="Q175" s="13" t="str">
        <x:v>仅本人读任务；Worker服务端权限；模型密钥不下发</x:v>
      </x:c>
      <x:c r="R175" s="13" t="str">
        <x:v>建任务+扣点同事务；每用户1个活动任务；重投跳过完成variant；资产30天</x:v>
      </x:c>
    </x:row>
    <x:row r="176" ht="68" customHeight="1">
      <x:c r="A176" s="13" t="str">
        <x:v>第 2 期</x:v>
      </x:c>
      <x:c r="B176" s="13" t="str">
        <x:v>2. 图标设计与生成</x:v>
      </x:c>
      <x:c r="C176" s="13" t="str">
        <x:v>GEN-010</x:v>
      </x:c>
      <x:c r="D176" s="13" t="str">
        <x:v>结果网格与选择</x:v>
      </x:c>
      <x:c r="E176" s="13" t="str">
        <x:v>FE-RESULTS-11</x:v>
      </x:c>
      <x:c r="F176" s="13" t="str">
        <x:v>前端</x:v>
      </x:c>
      <x:c r="G176" s="13" t="str">
        <x:v>完成结果详情页中英文文案</x:v>
      </x:c>
      <x:c r="H176" s="13" t="str">
        <x:v>en/zh词条</x:v>
      </x:c>
      <x:c r="I176" s="13" t="str">
        <x:v>切换语言后字段含义、按钮和错误保持一致</x:v>
      </x:c>
      <x:c r="J176" s="13" t="str">
        <x:v>—</x:v>
      </x:c>
      <x:c r="K176" s="13" t="str">
        <x:v>已完成</x:v>
      </x:c>
      <x:c r="L176" s="13" t="str">
        <x:v>09-03～09-06</x:v>
      </x:c>
      <x:c r="M176" s="13" t="str">
        <x:v>2026-08-20</x:v>
      </x:c>
      <x:c r="N176" s="13" t="str">
        <x:v>job/subject/variant/asset均为UUID；创建请求带idempotency_key；记录设置/Skill/模型版本</x:v>
      </x:c>
      <x:c r="O176" s="13" t="str">
        <x:v>job queued/processing/completed/partial/failed；variant queued/processing/completed/failed</x:v>
      </x:c>
      <x:c r="P176" s="13" t="str">
        <x:v>1–20主体、余额不足、内容拦截、超时、部分成功、刷新恢复</x:v>
      </x:c>
      <x:c r="Q176" s="13" t="str">
        <x:v>仅本人读任务；Worker服务端权限；模型密钥不下发</x:v>
      </x:c>
      <x:c r="R176" s="13" t="str">
        <x:v>建任务+扣点同事务；每用户1个活动任务；重投跳过完成variant；资产30天</x:v>
      </x:c>
    </x:row>
    <x:row r="177" ht="68" customHeight="1">
      <x:c r="A177" s="13" t="str">
        <x:v>第 2 期</x:v>
      </x:c>
      <x:c r="B177" s="13" t="str">
        <x:v>2. 图标设计与生成</x:v>
      </x:c>
      <x:c r="C177" s="13" t="str">
        <x:v>GEN-010</x:v>
      </x:c>
      <x:c r="D177" s="13" t="str">
        <x:v>结果网格与选择</x:v>
      </x:c>
      <x:c r="E177" s="13" t="str">
        <x:v>FE-RESULTS-12</x:v>
      </x:c>
      <x:c r="F177" s="13" t="str">
        <x:v>前端</x:v>
      </x:c>
      <x:c r="G177" s="13" t="str">
        <x:v>完成结果详情页键盘与屏幕阅读器支持</x:v>
      </x:c>
      <x:c r="H177" s="13" t="str">
        <x:v>语义标签、焦点顺序、aria-live</x:v>
      </x:c>
      <x:c r="I177" s="13" t="str">
        <x:v>仅键盘可完成主流程；错误与状态可被读出</x:v>
      </x:c>
      <x:c r="J177" s="13" t="str">
        <x:v>—</x:v>
      </x:c>
      <x:c r="K177" s="13" t="str">
        <x:v>待完成</x:v>
      </x:c>
      <x:c r="L177" s="13" t="str">
        <x:v>09-03～09-06</x:v>
      </x:c>
      <x:c r="M177" s="13" t="str">
        <x:v>—</x:v>
      </x:c>
      <x:c r="N177" s="13" t="str">
        <x:v>job/subject/variant/asset均为UUID；创建请求带idempotency_key；记录设置/Skill/模型版本</x:v>
      </x:c>
      <x:c r="O177" s="13" t="str">
        <x:v>job queued/processing/completed/partial/failed；variant queued/processing/completed/failed</x:v>
      </x:c>
      <x:c r="P177" s="13" t="str">
        <x:v>1–20主体、余额不足、内容拦截、超时、部分成功、刷新恢复</x:v>
      </x:c>
      <x:c r="Q177" s="13" t="str">
        <x:v>仅本人读任务；Worker服务端权限；模型密钥不下发</x:v>
      </x:c>
      <x:c r="R177" s="13" t="str">
        <x:v>建任务+扣点同事务；每用户1个活动任务；重投跳过完成variant；资产30天</x:v>
      </x:c>
    </x:row>
    <x:row r="178" ht="68" customHeight="1">
      <x:c r="A178" s="13" t="str">
        <x:v>第 2 期</x:v>
      </x:c>
      <x:c r="B178" s="13" t="str">
        <x:v>2. 图标设计与生成</x:v>
      </x:c>
      <x:c r="C178" s="13" t="str">
        <x:v>GEN-010</x:v>
      </x:c>
      <x:c r="D178" s="13" t="str">
        <x:v>结果网格与选择</x:v>
      </x:c>
      <x:c r="E178" s="13" t="str">
        <x:v>FE-RESULTS-13</x:v>
      </x:c>
      <x:c r="F178" s="13" t="str">
        <x:v>前端</x:v>
      </x:c>
      <x:c r="G178" s="13" t="str">
        <x:v>编写结果详情页组件测试</x:v>
      </x:c>
      <x:c r="H178" s="13" t="str">
        <x:v>组件与交互测试</x:v>
      </x:c>
      <x:c r="I178" s="13" t="str">
        <x:v>覆盖成功、校验失败、服务端失败和重复点击</x:v>
      </x:c>
      <x:c r="J178" s="13" t="str">
        <x:v>—</x:v>
      </x:c>
      <x:c r="K178" s="13" t="str">
        <x:v>待完成</x:v>
      </x:c>
      <x:c r="L178" s="13" t="str">
        <x:v>09-03～09-06</x:v>
      </x:c>
      <x:c r="M178" s="13" t="str">
        <x:v>—</x:v>
      </x:c>
      <x:c r="N178" s="13" t="str">
        <x:v>job/subject/variant/asset均为UUID；创建请求带idempotency_key；记录设置/Skill/模型版本</x:v>
      </x:c>
      <x:c r="O178" s="13" t="str">
        <x:v>job queued/processing/completed/partial/failed；variant queued/processing/completed/failed</x:v>
      </x:c>
      <x:c r="P178" s="13" t="str">
        <x:v>1–20主体、余额不足、内容拦截、超时、部分成功、刷新恢复</x:v>
      </x:c>
      <x:c r="Q178" s="13" t="str">
        <x:v>仅本人读任务；Worker服务端权限；模型密钥不下发</x:v>
      </x:c>
      <x:c r="R178" s="13" t="str">
        <x:v>建任务+扣点同事务；每用户1个活动任务；重投跳过完成variant；资产30天</x:v>
      </x:c>
    </x:row>
    <x:row r="179" ht="68" customHeight="1">
      <x:c r="A179" s="13" t="str">
        <x:v>第 2 期</x:v>
      </x:c>
      <x:c r="B179" s="13" t="str">
        <x:v>3. 作品、预览与下载</x:v>
      </x:c>
      <x:c r="C179" s="13" t="str">
        <x:v>WORK-001/002</x:v>
      </x:c>
      <x:c r="D179" s="13" t="str">
        <x:v>我的图标与任务详情</x:v>
      </x:c>
      <x:c r="E179" s="13" t="str">
        <x:v>FE-WORKS-01</x:v>
      </x:c>
      <x:c r="F179" s="13" t="str">
        <x:v>前端</x:v>
      </x:c>
      <x:c r="G179" s="13" t="str">
        <x:v>建立我的图标页路由与页面边界</x:v>
      </x:c>
      <x:c r="H179" s="13" t="str">
        <x:v>我的图标页路由、页面组件和Metadata</x:v>
      </x:c>
      <x:c r="I179" s="13" t="str">
        <x:v>直接访问路由可渲染；未授权跳转符合PRD；无运行时错误</x:v>
      </x:c>
      <x:c r="J179" s="13" t="str">
        <x:v>—</x:v>
      </x:c>
      <x:c r="K179" s="13" t="str">
        <x:v>待完成</x:v>
      </x:c>
      <x:c r="L179" s="13" t="str">
        <x:v>09-05～09-07</x:v>
      </x:c>
      <x:c r="M179" s="13" t="str">
        <x:v>—</x:v>
      </x:c>
      <x:c r="N179" s="13" t="str">
        <x:v>job/variant/asset UUID；archive_id UUID；归档键=用户+选择集+尺寸</x:v>
      </x:c>
      <x:c r="O179" s="13" t="str">
        <x:v>asset available/expired；archive queued/processing/ready/failed/expired</x:v>
      </x:c>
      <x:c r="P179" s="13" t="str">
        <x:v>无选择、未就绪、尺寸缺失、URL过期、资产清理、归档失败</x:v>
      </x:c>
      <x:c r="Q179" s="13" t="str">
        <x:v>本人所有权校验；私有Bucket；短时签名URL</x:v>
      </x:c>
      <x:c r="R179" s="13" t="str">
        <x:v>相同归档24小时复用；作品30天；有效PNG进入个人数据导出</x:v>
      </x:c>
    </x:row>
    <x:row r="180" ht="68" customHeight="1">
      <x:c r="A180" s="13" t="str">
        <x:v>第 2 期</x:v>
      </x:c>
      <x:c r="B180" s="13" t="str">
        <x:v>3. 作品、预览与下载</x:v>
      </x:c>
      <x:c r="C180" s="13" t="str">
        <x:v>WORK-001/002</x:v>
      </x:c>
      <x:c r="D180" s="13" t="str">
        <x:v>我的图标与任务详情</x:v>
      </x:c>
      <x:c r="E180" s="13" t="str">
        <x:v>FE-WORKS-02</x:v>
      </x:c>
      <x:c r="F180" s="13" t="str">
        <x:v>前端</x:v>
      </x:c>
      <x:c r="G180" s="13" t="str">
        <x:v>定义我的图标页页面状态模型</x:v>
      </x:c>
      <x:c r="H180" s="13" t="str">
        <x:v>页面状态类型与初始化逻辑</x:v>
      </x:c>
      <x:c r="I180" s="13" t="str">
        <x:v>每个状态只有一个含义；刷新后可恢复服务端状态</x:v>
      </x:c>
      <x:c r="J180" s="13" t="str">
        <x:v>FE-WORKS-01</x:v>
      </x:c>
      <x:c r="K180" s="13" t="str">
        <x:v>待完成</x:v>
      </x:c>
      <x:c r="L180" s="13" t="str">
        <x:v>09-05～09-07</x:v>
      </x:c>
      <x:c r="M180" s="13" t="str">
        <x:v>—</x:v>
      </x:c>
      <x:c r="N180" s="13" t="str">
        <x:v>job/variant/asset UUID；archive_id UUID；归档键=用户+选择集+尺寸</x:v>
      </x:c>
      <x:c r="O180" s="13" t="str">
        <x:v>asset available/expired；archive queued/processing/ready/failed/expired</x:v>
      </x:c>
      <x:c r="P180" s="13" t="str">
        <x:v>无选择、未就绪、尺寸缺失、URL过期、资产清理、归档失败</x:v>
      </x:c>
      <x:c r="Q180" s="13" t="str">
        <x:v>本人所有权校验；私有Bucket；短时签名URL</x:v>
      </x:c>
      <x:c r="R180" s="13" t="str">
        <x:v>相同归档24小时复用；作品30天；有效PNG进入个人数据导出</x:v>
      </x:c>
    </x:row>
    <x:row r="181" ht="68" customHeight="1">
      <x:c r="A181" s="13" t="str">
        <x:v>第 2 期</x:v>
      </x:c>
      <x:c r="B181" s="13" t="str">
        <x:v>3. 作品、预览与下载</x:v>
      </x:c>
      <x:c r="C181" s="13" t="str">
        <x:v>WORK-001/002</x:v>
      </x:c>
      <x:c r="D181" s="13" t="str">
        <x:v>我的图标与任务详情</x:v>
      </x:c>
      <x:c r="E181" s="13" t="str">
        <x:v>FE-WORKS-03</x:v>
      </x:c>
      <x:c r="F181" s="13" t="str">
        <x:v>前端</x:v>
      </x:c>
      <x:c r="G181" s="13" t="str">
        <x:v>实现任务卡片</x:v>
      </x:c>
      <x:c r="H181" s="13" t="str">
        <x:v>缩略图、主体名、状态、时间</x:v>
      </x:c>
      <x:c r="I181" s="13" t="str">
        <x:v>无结果时使用稳定占位</x:v>
      </x:c>
      <x:c r="J181" s="13" t="str">
        <x:v>—</x:v>
      </x:c>
      <x:c r="K181" s="13" t="str">
        <x:v>待完成</x:v>
      </x:c>
      <x:c r="L181" s="13" t="str">
        <x:v>09-05～09-07</x:v>
      </x:c>
      <x:c r="M181" s="13" t="str">
        <x:v>—</x:v>
      </x:c>
      <x:c r="N181" s="13" t="str">
        <x:v>job/variant/asset UUID；archive_id UUID；归档键=用户+选择集+尺寸</x:v>
      </x:c>
      <x:c r="O181" s="13" t="str">
        <x:v>asset available/expired；archive queued/processing/ready/failed/expired</x:v>
      </x:c>
      <x:c r="P181" s="13" t="str">
        <x:v>无选择、未就绪、尺寸缺失、URL过期、资产清理、归档失败</x:v>
      </x:c>
      <x:c r="Q181" s="13" t="str">
        <x:v>本人所有权校验；私有Bucket；短时签名URL</x:v>
      </x:c>
      <x:c r="R181" s="13" t="str">
        <x:v>相同归档24小时复用；作品30天；有效PNG进入个人数据导出</x:v>
      </x:c>
    </x:row>
    <x:row r="182" ht="68" customHeight="1">
      <x:c r="A182" s="13" t="str">
        <x:v>第 2 期</x:v>
      </x:c>
      <x:c r="B182" s="13" t="str">
        <x:v>3. 作品、预览与下载</x:v>
      </x:c>
      <x:c r="C182" s="13" t="str">
        <x:v>WORK-001/002</x:v>
      </x:c>
      <x:c r="D182" s="13" t="str">
        <x:v>我的图标与任务详情</x:v>
      </x:c>
      <x:c r="E182" s="13" t="str">
        <x:v>FE-WORKS-04</x:v>
      </x:c>
      <x:c r="F182" s="13" t="str">
        <x:v>前端</x:v>
      </x:c>
      <x:c r="G182" s="13" t="str">
        <x:v>实现筛选和搜索</x:v>
      </x:c>
      <x:c r="H182" s="13" t="str">
        <x:v>状态筛选和关键词</x:v>
      </x:c>
      <x:c r="I182" s="13" t="str">
        <x:v>条件进入URL或可恢复状态</x:v>
      </x:c>
      <x:c r="J182" s="13" t="str">
        <x:v>—</x:v>
      </x:c>
      <x:c r="K182" s="13" t="str">
        <x:v>待完成</x:v>
      </x:c>
      <x:c r="L182" s="13" t="str">
        <x:v>09-05～09-07</x:v>
      </x:c>
      <x:c r="M182" s="13" t="str">
        <x:v>—</x:v>
      </x:c>
      <x:c r="N182" s="13" t="str">
        <x:v>job/variant/asset UUID；archive_id UUID；归档键=用户+选择集+尺寸</x:v>
      </x:c>
      <x:c r="O182" s="13" t="str">
        <x:v>asset available/expired；archive queued/processing/ready/failed/expired</x:v>
      </x:c>
      <x:c r="P182" s="13" t="str">
        <x:v>无选择、未就绪、尺寸缺失、URL过期、资产清理、归档失败</x:v>
      </x:c>
      <x:c r="Q182" s="13" t="str">
        <x:v>本人所有权校验；私有Bucket；短时签名URL</x:v>
      </x:c>
      <x:c r="R182" s="13" t="str">
        <x:v>相同归档24小时复用；作品30天；有效PNG进入个人数据导出</x:v>
      </x:c>
    </x:row>
    <x:row r="183" ht="68" customHeight="1">
      <x:c r="A183" s="13" t="str">
        <x:v>第 2 期</x:v>
      </x:c>
      <x:c r="B183" s="13" t="str">
        <x:v>3. 作品、预览与下载</x:v>
      </x:c>
      <x:c r="C183" s="13" t="str">
        <x:v>WORK-001/002</x:v>
      </x:c>
      <x:c r="D183" s="13" t="str">
        <x:v>我的图标与任务详情</x:v>
      </x:c>
      <x:c r="E183" s="13" t="str">
        <x:v>FE-WORKS-05</x:v>
      </x:c>
      <x:c r="F183" s="13" t="str">
        <x:v>前端</x:v>
      </x:c>
      <x:c r="G183" s="13" t="str">
        <x:v>实现游标分页</x:v>
      </x:c>
      <x:c r="H183" s="13" t="str">
        <x:v>下一页/加载更多</x:v>
      </x:c>
      <x:c r="I183" s="13" t="str">
        <x:v>不重复或遗漏任务</x:v>
      </x:c>
      <x:c r="J183" s="13" t="str">
        <x:v>—</x:v>
      </x:c>
      <x:c r="K183" s="13" t="str">
        <x:v>待完成</x:v>
      </x:c>
      <x:c r="L183" s="13" t="str">
        <x:v>09-05～09-07</x:v>
      </x:c>
      <x:c r="M183" s="13" t="str">
        <x:v>—</x:v>
      </x:c>
      <x:c r="N183" s="13" t="str">
        <x:v>job/variant/asset UUID；archive_id UUID；归档键=用户+选择集+尺寸</x:v>
      </x:c>
      <x:c r="O183" s="13" t="str">
        <x:v>asset available/expired；archive queued/processing/ready/failed/expired</x:v>
      </x:c>
      <x:c r="P183" s="13" t="str">
        <x:v>无选择、未就绪、尺寸缺失、URL过期、资产清理、归档失败</x:v>
      </x:c>
      <x:c r="Q183" s="13" t="str">
        <x:v>本人所有权校验；私有Bucket；短时签名URL</x:v>
      </x:c>
      <x:c r="R183" s="13" t="str">
        <x:v>相同归档24小时复用；作品30天；有效PNG进入个人数据导出</x:v>
      </x:c>
    </x:row>
    <x:row r="184" ht="68" customHeight="1">
      <x:c r="A184" s="13" t="str">
        <x:v>第 2 期</x:v>
      </x:c>
      <x:c r="B184" s="13" t="str">
        <x:v>3. 作品、预览与下载</x:v>
      </x:c>
      <x:c r="C184" s="13" t="str">
        <x:v>WORK-001/002</x:v>
      </x:c>
      <x:c r="D184" s="13" t="str">
        <x:v>我的图标与任务详情</x:v>
      </x:c>
      <x:c r="E184" s="13" t="str">
        <x:v>FE-WORKS-06</x:v>
      </x:c>
      <x:c r="F184" s="13" t="str">
        <x:v>前端</x:v>
      </x:c>
      <x:c r="G184" s="13" t="str">
        <x:v>展示到期时间</x:v>
      </x:c>
      <x:c r="H184" s="13" t="str">
        <x:v>expiresAt和已过期状态</x:v>
      </x:c>
      <x:c r="I184" s="13" t="str">
        <x:v>过期资产不显示下载按钮</x:v>
      </x:c>
      <x:c r="J184" s="13" t="str">
        <x:v>—</x:v>
      </x:c>
      <x:c r="K184" s="13" t="str">
        <x:v>待完成</x:v>
      </x:c>
      <x:c r="L184" s="13" t="str">
        <x:v>09-05～09-07</x:v>
      </x:c>
      <x:c r="M184" s="13" t="str">
        <x:v>—</x:v>
      </x:c>
      <x:c r="N184" s="13" t="str">
        <x:v>job/variant/asset UUID；archive_id UUID；归档键=用户+选择集+尺寸</x:v>
      </x:c>
      <x:c r="O184" s="13" t="str">
        <x:v>asset available/expired；archive queued/processing/ready/failed/expired</x:v>
      </x:c>
      <x:c r="P184" s="13" t="str">
        <x:v>无选择、未就绪、尺寸缺失、URL过期、资产清理、归档失败</x:v>
      </x:c>
      <x:c r="Q184" s="13" t="str">
        <x:v>本人所有权校验；私有Bucket；短时签名URL</x:v>
      </x:c>
      <x:c r="R184" s="13" t="str">
        <x:v>相同归档24小时复用；作品30天；有效PNG进入个人数据导出</x:v>
      </x:c>
    </x:row>
    <x:row r="185" ht="68" customHeight="1">
      <x:c r="A185" s="13" t="str">
        <x:v>第 2 期</x:v>
      </x:c>
      <x:c r="B185" s="13" t="str">
        <x:v>3. 作品、预览与下载</x:v>
      </x:c>
      <x:c r="C185" s="13" t="str">
        <x:v>WORK-001/002</x:v>
      </x:c>
      <x:c r="D185" s="13" t="str">
        <x:v>我的图标与任务详情</x:v>
      </x:c>
      <x:c r="E185" s="13" t="str">
        <x:v>FE-WORKS-07</x:v>
      </x:c>
      <x:c r="F185" s="13" t="str">
        <x:v>前端</x:v>
      </x:c>
      <x:c r="G185" s="13" t="str">
        <x:v>实现再次生成入口</x:v>
      </x:c>
      <x:c r="H185" s="13" t="str">
        <x:v>复用允许的设置为草稿</x:v>
      </x:c>
      <x:c r="I185" s="13" t="str">
        <x:v>不自动扣点或提交</x:v>
      </x:c>
      <x:c r="J185" s="13" t="str">
        <x:v>—</x:v>
      </x:c>
      <x:c r="K185" s="13" t="str">
        <x:v>待完成</x:v>
      </x:c>
      <x:c r="L185" s="13" t="str">
        <x:v>09-05～09-07</x:v>
      </x:c>
      <x:c r="M185" s="13" t="str">
        <x:v>—</x:v>
      </x:c>
      <x:c r="N185" s="13" t="str">
        <x:v>job/variant/asset UUID；archive_id UUID；归档键=用户+选择集+尺寸</x:v>
      </x:c>
      <x:c r="O185" s="13" t="str">
        <x:v>asset available/expired；archive queued/processing/ready/failed/expired</x:v>
      </x:c>
      <x:c r="P185" s="13" t="str">
        <x:v>无选择、未就绪、尺寸缺失、URL过期、资产清理、归档失败</x:v>
      </x:c>
      <x:c r="Q185" s="13" t="str">
        <x:v>本人所有权校验；私有Bucket；短时签名URL</x:v>
      </x:c>
      <x:c r="R185" s="13" t="str">
        <x:v>相同归档24小时复用；作品30天；有效PNG进入个人数据导出</x:v>
      </x:c>
    </x:row>
    <x:row r="186" ht="68" customHeight="1">
      <x:c r="A186" s="13" t="str">
        <x:v>第 2 期</x:v>
      </x:c>
      <x:c r="B186" s="13" t="str">
        <x:v>3. 作品、预览与下载</x:v>
      </x:c>
      <x:c r="C186" s="13" t="str">
        <x:v>WORK-001/002</x:v>
      </x:c>
      <x:c r="D186" s="13" t="str">
        <x:v>我的图标与任务详情</x:v>
      </x:c>
      <x:c r="E186" s="13" t="str">
        <x:v>FE-WORKS-08</x:v>
      </x:c>
      <x:c r="F186" s="13" t="str">
        <x:v>前端</x:v>
      </x:c>
      <x:c r="G186" s="13" t="str">
        <x:v>接入我的图标页服务端接口</x:v>
      </x:c>
      <x:c r="H186" s="13" t="str">
        <x:v>generation jobs list/detail客户端适配器</x:v>
      </x:c>
      <x:c r="I186" s="13" t="str">
        <x:v>请求字段与共享Schema一致；不在组件内拼装不受控请求</x:v>
      </x:c>
      <x:c r="J186" s="13" t="str">
        <x:v>FE-WORKS-02</x:v>
      </x:c>
      <x:c r="K186" s="13" t="str">
        <x:v>待完成</x:v>
      </x:c>
      <x:c r="L186" s="13" t="str">
        <x:v>09-05～09-07</x:v>
      </x:c>
      <x:c r="M186" s="13" t="str">
        <x:v>—</x:v>
      </x:c>
      <x:c r="N186" s="13" t="str">
        <x:v>job/variant/asset UUID；archive_id UUID；归档键=用户+选择集+尺寸</x:v>
      </x:c>
      <x:c r="O186" s="13" t="str">
        <x:v>asset available/expired；archive queued/processing/ready/failed/expired</x:v>
      </x:c>
      <x:c r="P186" s="13" t="str">
        <x:v>无选择、未就绪、尺寸缺失、URL过期、资产清理、归档失败</x:v>
      </x:c>
      <x:c r="Q186" s="13" t="str">
        <x:v>本人所有权校验；私有Bucket；短时签名URL</x:v>
      </x:c>
      <x:c r="R186" s="13" t="str">
        <x:v>相同归档24小时复用；作品30天；有效PNG进入个人数据导出</x:v>
      </x:c>
    </x:row>
    <x:row r="187" ht="68" customHeight="1">
      <x:c r="A187" s="13" t="str">
        <x:v>第 2 期</x:v>
      </x:c>
      <x:c r="B187" s="13" t="str">
        <x:v>3. 作品、预览与下载</x:v>
      </x:c>
      <x:c r="C187" s="13" t="str">
        <x:v>WORK-001/002</x:v>
      </x:c>
      <x:c r="D187" s="13" t="str">
        <x:v>我的图标与任务详情</x:v>
      </x:c>
      <x:c r="E187" s="13" t="str">
        <x:v>FE-WORKS-09</x:v>
      </x:c>
      <x:c r="F187" s="13" t="str">
        <x:v>前端</x:v>
      </x:c>
      <x:c r="G187" s="13" t="str">
        <x:v>实现我的图标页加载状态</x:v>
      </x:c>
      <x:c r="H187" s="13" t="str">
        <x:v>骨架屏或进度反馈</x:v>
      </x:c>
      <x:c r="I187" s="13" t="str">
        <x:v>请求期间有可感知反馈；重复操作被禁用</x:v>
      </x:c>
      <x:c r="J187" s="13" t="str">
        <x:v>FE-WORKS-02</x:v>
      </x:c>
      <x:c r="K187" s="13" t="str">
        <x:v>待完成</x:v>
      </x:c>
      <x:c r="L187" s="13" t="str">
        <x:v>09-05～09-07</x:v>
      </x:c>
      <x:c r="M187" s="13" t="str">
        <x:v>—</x:v>
      </x:c>
      <x:c r="N187" s="13" t="str">
        <x:v>job/variant/asset UUID；archive_id UUID；归档键=用户+选择集+尺寸</x:v>
      </x:c>
      <x:c r="O187" s="13" t="str">
        <x:v>asset available/expired；archive queued/processing/ready/failed/expired</x:v>
      </x:c>
      <x:c r="P187" s="13" t="str">
        <x:v>无选择、未就绪、尺寸缺失、URL过期、资产清理、归档失败</x:v>
      </x:c>
      <x:c r="Q187" s="13" t="str">
        <x:v>本人所有权校验；私有Bucket；短时签名URL</x:v>
      </x:c>
      <x:c r="R187" s="13" t="str">
        <x:v>相同归档24小时复用；作品30天；有效PNG进入个人数据导出</x:v>
      </x:c>
    </x:row>
    <x:row r="188" ht="68" customHeight="1">
      <x:c r="A188" s="13" t="str">
        <x:v>第 2 期</x:v>
      </x:c>
      <x:c r="B188" s="13" t="str">
        <x:v>3. 作品、预览与下载</x:v>
      </x:c>
      <x:c r="C188" s="13" t="str">
        <x:v>WORK-001/002</x:v>
      </x:c>
      <x:c r="D188" s="13" t="str">
        <x:v>我的图标与任务详情</x:v>
      </x:c>
      <x:c r="E188" s="13" t="str">
        <x:v>FE-WORKS-10</x:v>
      </x:c>
      <x:c r="F188" s="13" t="str">
        <x:v>前端</x:v>
      </x:c>
      <x:c r="G188" s="13" t="str">
        <x:v>实现我的图标页错误映射</x:v>
      </x:c>
      <x:c r="H188" s="13" t="str">
        <x:v>稳定错误码到双语用户文案的映射</x:v>
      </x:c>
      <x:c r="I188" s="13" t="str">
        <x:v>业务错误可恢复；未知错误不泄露内部信息</x:v>
      </x:c>
      <x:c r="J188" s="13" t="str">
        <x:v>FE-WORKS-02</x:v>
      </x:c>
      <x:c r="K188" s="13" t="str">
        <x:v>待完成</x:v>
      </x:c>
      <x:c r="L188" s="13" t="str">
        <x:v>09-05～09-07</x:v>
      </x:c>
      <x:c r="M188" s="13" t="str">
        <x:v>—</x:v>
      </x:c>
      <x:c r="N188" s="13" t="str">
        <x:v>job/variant/asset UUID；archive_id UUID；归档键=用户+选择集+尺寸</x:v>
      </x:c>
      <x:c r="O188" s="13" t="str">
        <x:v>asset available/expired；archive queued/processing/ready/failed/expired</x:v>
      </x:c>
      <x:c r="P188" s="13" t="str">
        <x:v>无选择、未就绪、尺寸缺失、URL过期、资产清理、归档失败</x:v>
      </x:c>
      <x:c r="Q188" s="13" t="str">
        <x:v>本人所有权校验；私有Bucket；短时签名URL</x:v>
      </x:c>
      <x:c r="R188" s="13" t="str">
        <x:v>相同归档24小时复用；作品30天；有效PNG进入个人数据导出</x:v>
      </x:c>
    </x:row>
    <x:row r="189" ht="68" customHeight="1">
      <x:c r="A189" s="13" t="str">
        <x:v>第 2 期</x:v>
      </x:c>
      <x:c r="B189" s="13" t="str">
        <x:v>3. 作品、预览与下载</x:v>
      </x:c>
      <x:c r="C189" s="13" t="str">
        <x:v>WORK-001/002</x:v>
      </x:c>
      <x:c r="D189" s="13" t="str">
        <x:v>我的图标与任务详情</x:v>
      </x:c>
      <x:c r="E189" s="13" t="str">
        <x:v>FE-WORKS-11</x:v>
      </x:c>
      <x:c r="F189" s="13" t="str">
        <x:v>前端</x:v>
      </x:c>
      <x:c r="G189" s="13" t="str">
        <x:v>完成我的图标页中英文文案</x:v>
      </x:c>
      <x:c r="H189" s="13" t="str">
        <x:v>en/zh词条</x:v>
      </x:c>
      <x:c r="I189" s="13" t="str">
        <x:v>切换语言后字段含义、按钮和错误保持一致</x:v>
      </x:c>
      <x:c r="J189" s="13" t="str">
        <x:v>—</x:v>
      </x:c>
      <x:c r="K189" s="13" t="str">
        <x:v>已完成</x:v>
      </x:c>
      <x:c r="L189" s="13" t="str">
        <x:v>09-05～09-07</x:v>
      </x:c>
      <x:c r="M189" s="13" t="str">
        <x:v>2026-08-20</x:v>
      </x:c>
      <x:c r="N189" s="13" t="str">
        <x:v>job/variant/asset UUID；archive_id UUID；归档键=用户+选择集+尺寸</x:v>
      </x:c>
      <x:c r="O189" s="13" t="str">
        <x:v>asset available/expired；archive queued/processing/ready/failed/expired</x:v>
      </x:c>
      <x:c r="P189" s="13" t="str">
        <x:v>无选择、未就绪、尺寸缺失、URL过期、资产清理、归档失败</x:v>
      </x:c>
      <x:c r="Q189" s="13" t="str">
        <x:v>本人所有权校验；私有Bucket；短时签名URL</x:v>
      </x:c>
      <x:c r="R189" s="13" t="str">
        <x:v>相同归档24小时复用；作品30天；有效PNG进入个人数据导出</x:v>
      </x:c>
    </x:row>
    <x:row r="190" ht="68" customHeight="1">
      <x:c r="A190" s="13" t="str">
        <x:v>第 2 期</x:v>
      </x:c>
      <x:c r="B190" s="13" t="str">
        <x:v>3. 作品、预览与下载</x:v>
      </x:c>
      <x:c r="C190" s="13" t="str">
        <x:v>WORK-001/002</x:v>
      </x:c>
      <x:c r="D190" s="13" t="str">
        <x:v>我的图标与任务详情</x:v>
      </x:c>
      <x:c r="E190" s="13" t="str">
        <x:v>FE-WORKS-12</x:v>
      </x:c>
      <x:c r="F190" s="13" t="str">
        <x:v>前端</x:v>
      </x:c>
      <x:c r="G190" s="13" t="str">
        <x:v>完成我的图标页键盘与屏幕阅读器支持</x:v>
      </x:c>
      <x:c r="H190" s="13" t="str">
        <x:v>语义标签、焦点顺序、aria-live</x:v>
      </x:c>
      <x:c r="I190" s="13" t="str">
        <x:v>仅键盘可完成主流程；错误与状态可被读出</x:v>
      </x:c>
      <x:c r="J190" s="13" t="str">
        <x:v>—</x:v>
      </x:c>
      <x:c r="K190" s="13" t="str">
        <x:v>待完成</x:v>
      </x:c>
      <x:c r="L190" s="13" t="str">
        <x:v>09-05～09-07</x:v>
      </x:c>
      <x:c r="M190" s="13" t="str">
        <x:v>—</x:v>
      </x:c>
      <x:c r="N190" s="13" t="str">
        <x:v>job/variant/asset UUID；archive_id UUID；归档键=用户+选择集+尺寸</x:v>
      </x:c>
      <x:c r="O190" s="13" t="str">
        <x:v>asset available/expired；archive queued/processing/ready/failed/expired</x:v>
      </x:c>
      <x:c r="P190" s="13" t="str">
        <x:v>无选择、未就绪、尺寸缺失、URL过期、资产清理、归档失败</x:v>
      </x:c>
      <x:c r="Q190" s="13" t="str">
        <x:v>本人所有权校验；私有Bucket；短时签名URL</x:v>
      </x:c>
      <x:c r="R190" s="13" t="str">
        <x:v>相同归档24小时复用；作品30天；有效PNG进入个人数据导出</x:v>
      </x:c>
    </x:row>
    <x:row r="191" ht="68" customHeight="1">
      <x:c r="A191" s="13" t="str">
        <x:v>第 2 期</x:v>
      </x:c>
      <x:c r="B191" s="13" t="str">
        <x:v>3. 作品、预览与下载</x:v>
      </x:c>
      <x:c r="C191" s="13" t="str">
        <x:v>WORK-001/002</x:v>
      </x:c>
      <x:c r="D191" s="13" t="str">
        <x:v>我的图标与任务详情</x:v>
      </x:c>
      <x:c r="E191" s="13" t="str">
        <x:v>FE-WORKS-13</x:v>
      </x:c>
      <x:c r="F191" s="13" t="str">
        <x:v>前端</x:v>
      </x:c>
      <x:c r="G191" s="13" t="str">
        <x:v>编写我的图标页组件测试</x:v>
      </x:c>
      <x:c r="H191" s="13" t="str">
        <x:v>组件与交互测试</x:v>
      </x:c>
      <x:c r="I191" s="13" t="str">
        <x:v>覆盖成功、校验失败、服务端失败和重复点击</x:v>
      </x:c>
      <x:c r="J191" s="13" t="str">
        <x:v>—</x:v>
      </x:c>
      <x:c r="K191" s="13" t="str">
        <x:v>待完成</x:v>
      </x:c>
      <x:c r="L191" s="13" t="str">
        <x:v>09-05～09-07</x:v>
      </x:c>
      <x:c r="M191" s="13" t="str">
        <x:v>—</x:v>
      </x:c>
      <x:c r="N191" s="13" t="str">
        <x:v>job/variant/asset UUID；archive_id UUID；归档键=用户+选择集+尺寸</x:v>
      </x:c>
      <x:c r="O191" s="13" t="str">
        <x:v>asset available/expired；archive queued/processing/ready/failed/expired</x:v>
      </x:c>
      <x:c r="P191" s="13" t="str">
        <x:v>无选择、未就绪、尺寸缺失、URL过期、资产清理、归档失败</x:v>
      </x:c>
      <x:c r="Q191" s="13" t="str">
        <x:v>本人所有权校验；私有Bucket；短时签名URL</x:v>
      </x:c>
      <x:c r="R191" s="13" t="str">
        <x:v>相同归档24小时复用；作品30天；有效PNG进入个人数据导出</x:v>
      </x:c>
    </x:row>
    <x:row r="192" ht="68" customHeight="1">
      <x:c r="A192" s="13" t="str">
        <x:v>第 2 期</x:v>
      </x:c>
      <x:c r="B192" s="13" t="str">
        <x:v>3. 作品、预览与下载</x:v>
      </x:c>
      <x:c r="C192" s="13" t="str">
        <x:v>WORK-003</x:v>
      </x:c>
      <x:c r="D192" s="13" t="str">
        <x:v>单图预览与下载</x:v>
      </x:c>
      <x:c r="E192" s="13" t="str">
        <x:v>FE-SINGLE-DL-01</x:v>
      </x:c>
      <x:c r="F192" s="13" t="str">
        <x:v>前端</x:v>
      </x:c>
      <x:c r="G192" s="13" t="str">
        <x:v>建立单图预览路由与页面边界</x:v>
      </x:c>
      <x:c r="H192" s="13" t="str">
        <x:v>单图预览路由、页面组件和Metadata</x:v>
      </x:c>
      <x:c r="I192" s="13" t="str">
        <x:v>直接访问路由可渲染；未授权跳转符合PRD；无运行时错误</x:v>
      </x:c>
      <x:c r="J192" s="13" t="str">
        <x:v>—</x:v>
      </x:c>
      <x:c r="K192" s="13" t="str">
        <x:v>待完成</x:v>
      </x:c>
      <x:c r="L192" s="13" t="str">
        <x:v>09-06～09-08</x:v>
      </x:c>
      <x:c r="M192" s="13" t="str">
        <x:v>—</x:v>
      </x:c>
      <x:c r="N192" s="13" t="str">
        <x:v>job/variant/asset UUID；archive_id UUID；归档键=用户+选择集+尺寸</x:v>
      </x:c>
      <x:c r="O192" s="13" t="str">
        <x:v>asset available/expired；archive queued/processing/ready/failed/expired</x:v>
      </x:c>
      <x:c r="P192" s="13" t="str">
        <x:v>无选择、未就绪、尺寸缺失、URL过期、资产清理、归档失败</x:v>
      </x:c>
      <x:c r="Q192" s="13" t="str">
        <x:v>本人所有权校验；私有Bucket；短时签名URL</x:v>
      </x:c>
      <x:c r="R192" s="13" t="str">
        <x:v>相同归档24小时复用；作品30天；有效PNG进入个人数据导出</x:v>
      </x:c>
    </x:row>
    <x:row r="193" ht="68" customHeight="1">
      <x:c r="A193" s="13" t="str">
        <x:v>第 2 期</x:v>
      </x:c>
      <x:c r="B193" s="13" t="str">
        <x:v>3. 作品、预览与下载</x:v>
      </x:c>
      <x:c r="C193" s="13" t="str">
        <x:v>WORK-003</x:v>
      </x:c>
      <x:c r="D193" s="13" t="str">
        <x:v>单图预览与下载</x:v>
      </x:c>
      <x:c r="E193" s="13" t="str">
        <x:v>FE-SINGLE-DL-02</x:v>
      </x:c>
      <x:c r="F193" s="13" t="str">
        <x:v>前端</x:v>
      </x:c>
      <x:c r="G193" s="13" t="str">
        <x:v>定义单图预览页面状态模型</x:v>
      </x:c>
      <x:c r="H193" s="13" t="str">
        <x:v>页面状态类型与初始化逻辑</x:v>
      </x:c>
      <x:c r="I193" s="13" t="str">
        <x:v>每个状态只有一个含义；刷新后可恢复服务端状态</x:v>
      </x:c>
      <x:c r="J193" s="13" t="str">
        <x:v>FE-SINGLE-DL-01</x:v>
      </x:c>
      <x:c r="K193" s="13" t="str">
        <x:v>待完成</x:v>
      </x:c>
      <x:c r="L193" s="13" t="str">
        <x:v>09-06～09-08</x:v>
      </x:c>
      <x:c r="M193" s="13" t="str">
        <x:v>—</x:v>
      </x:c>
      <x:c r="N193" s="13" t="str">
        <x:v>job/variant/asset UUID；archive_id UUID；归档键=用户+选择集+尺寸</x:v>
      </x:c>
      <x:c r="O193" s="13" t="str">
        <x:v>asset available/expired；archive queued/processing/ready/failed/expired</x:v>
      </x:c>
      <x:c r="P193" s="13" t="str">
        <x:v>无选择、未就绪、尺寸缺失、URL过期、资产清理、归档失败</x:v>
      </x:c>
      <x:c r="Q193" s="13" t="str">
        <x:v>本人所有权校验；私有Bucket；短时签名URL</x:v>
      </x:c>
      <x:c r="R193" s="13" t="str">
        <x:v>相同归档24小时复用；作品30天；有效PNG进入个人数据导出</x:v>
      </x:c>
    </x:row>
    <x:row r="194" ht="68" customHeight="1">
      <x:c r="A194" s="13" t="str">
        <x:v>第 2 期</x:v>
      </x:c>
      <x:c r="B194" s="13" t="str">
        <x:v>3. 作品、预览与下载</x:v>
      </x:c>
      <x:c r="C194" s="13" t="str">
        <x:v>WORK-003</x:v>
      </x:c>
      <x:c r="D194" s="13" t="str">
        <x:v>单图预览与下载</x:v>
      </x:c>
      <x:c r="E194" s="13" t="str">
        <x:v>FE-SINGLE-DL-03</x:v>
      </x:c>
      <x:c r="F194" s="13" t="str">
        <x:v>前端</x:v>
      </x:c>
      <x:c r="G194" s="13" t="str">
        <x:v>实现大图预览</x:v>
      </x:c>
      <x:c r="H194" s="13" t="str">
        <x:v>透明棋盘背景</x:v>
      </x:c>
      <x:c r="I194" s="13" t="str">
        <x:v>透明与有背景图均可辨识</x:v>
      </x:c>
      <x:c r="J194" s="13" t="str">
        <x:v>—</x:v>
      </x:c>
      <x:c r="K194" s="13" t="str">
        <x:v>待完成</x:v>
      </x:c>
      <x:c r="L194" s="13" t="str">
        <x:v>09-06～09-08</x:v>
      </x:c>
      <x:c r="M194" s="13" t="str">
        <x:v>—</x:v>
      </x:c>
      <x:c r="N194" s="13" t="str">
        <x:v>job/variant/asset UUID；archive_id UUID；归档键=用户+选择集+尺寸</x:v>
      </x:c>
      <x:c r="O194" s="13" t="str">
        <x:v>asset available/expired；archive queued/processing/ready/failed/expired</x:v>
      </x:c>
      <x:c r="P194" s="13" t="str">
        <x:v>无选择、未就绪、尺寸缺失、URL过期、资产清理、归档失败</x:v>
      </x:c>
      <x:c r="Q194" s="13" t="str">
        <x:v>本人所有权校验；私有Bucket；短时签名URL</x:v>
      </x:c>
      <x:c r="R194" s="13" t="str">
        <x:v>相同归档24小时复用；作品30天；有效PNG进入个人数据导出</x:v>
      </x:c>
    </x:row>
    <x:row r="195" ht="68" customHeight="1">
      <x:c r="A195" s="13" t="str">
        <x:v>第 2 期</x:v>
      </x:c>
      <x:c r="B195" s="13" t="str">
        <x:v>3. 作品、预览与下载</x:v>
      </x:c>
      <x:c r="C195" s="13" t="str">
        <x:v>WORK-003</x:v>
      </x:c>
      <x:c r="D195" s="13" t="str">
        <x:v>单图预览与下载</x:v>
      </x:c>
      <x:c r="E195" s="13" t="str">
        <x:v>FE-SINGLE-DL-04</x:v>
      </x:c>
      <x:c r="F195" s="13" t="str">
        <x:v>前端</x:v>
      </x:c>
      <x:c r="G195" s="13" t="str">
        <x:v>实现尺寸切换</x:v>
      </x:c>
      <x:c r="H195" s="13" t="str">
        <x:v>仅展示已生成尺寸</x:v>
      </x:c>
      <x:c r="I195" s="13" t="str">
        <x:v>切换不改变方案选择</x:v>
      </x:c>
      <x:c r="J195" s="13" t="str">
        <x:v>—</x:v>
      </x:c>
      <x:c r="K195" s="13" t="str">
        <x:v>待完成</x:v>
      </x:c>
      <x:c r="L195" s="13" t="str">
        <x:v>09-06～09-08</x:v>
      </x:c>
      <x:c r="M195" s="13" t="str">
        <x:v>—</x:v>
      </x:c>
      <x:c r="N195" s="13" t="str">
        <x:v>job/variant/asset UUID；archive_id UUID；归档键=用户+选择集+尺寸</x:v>
      </x:c>
      <x:c r="O195" s="13" t="str">
        <x:v>asset available/expired；archive queued/processing/ready/failed/expired</x:v>
      </x:c>
      <x:c r="P195" s="13" t="str">
        <x:v>无选择、未就绪、尺寸缺失、URL过期、资产清理、归档失败</x:v>
      </x:c>
      <x:c r="Q195" s="13" t="str">
        <x:v>本人所有权校验；私有Bucket；短时签名URL</x:v>
      </x:c>
      <x:c r="R195" s="13" t="str">
        <x:v>相同归档24小时复用；作品30天；有效PNG进入个人数据导出</x:v>
      </x:c>
    </x:row>
    <x:row r="196" ht="68" customHeight="1">
      <x:c r="A196" s="13" t="str">
        <x:v>第 2 期</x:v>
      </x:c>
      <x:c r="B196" s="13" t="str">
        <x:v>3. 作品、预览与下载</x:v>
      </x:c>
      <x:c r="C196" s="13" t="str">
        <x:v>WORK-003</x:v>
      </x:c>
      <x:c r="D196" s="13" t="str">
        <x:v>单图预览与下载</x:v>
      </x:c>
      <x:c r="E196" s="13" t="str">
        <x:v>FE-SINGLE-DL-05</x:v>
      </x:c>
      <x:c r="F196" s="13" t="str">
        <x:v>前端</x:v>
      </x:c>
      <x:c r="G196" s="13" t="str">
        <x:v>实现Download PNG</x:v>
      </x:c>
      <x:c r="H196" s="13" t="str">
        <x:v>请求短时URL并触发下载</x:v>
      </x:c>
      <x:c r="I196" s="13" t="str">
        <x:v>文件名、扩展名、尺寸正确</x:v>
      </x:c>
      <x:c r="J196" s="13" t="str">
        <x:v>—</x:v>
      </x:c>
      <x:c r="K196" s="13" t="str">
        <x:v>待完成</x:v>
      </x:c>
      <x:c r="L196" s="13" t="str">
        <x:v>09-06～09-08</x:v>
      </x:c>
      <x:c r="M196" s="13" t="str">
        <x:v>—</x:v>
      </x:c>
      <x:c r="N196" s="13" t="str">
        <x:v>job/variant/asset UUID；archive_id UUID；归档键=用户+选择集+尺寸</x:v>
      </x:c>
      <x:c r="O196" s="13" t="str">
        <x:v>asset available/expired；archive queued/processing/ready/failed/expired</x:v>
      </x:c>
      <x:c r="P196" s="13" t="str">
        <x:v>无选择、未就绪、尺寸缺失、URL过期、资产清理、归档失败</x:v>
      </x:c>
      <x:c r="Q196" s="13" t="str">
        <x:v>本人所有权校验；私有Bucket；短时签名URL</x:v>
      </x:c>
      <x:c r="R196" s="13" t="str">
        <x:v>相同归档24小时复用；作品30天；有效PNG进入个人数据导出</x:v>
      </x:c>
    </x:row>
    <x:row r="197" ht="68" customHeight="1">
      <x:c r="A197" s="13" t="str">
        <x:v>第 2 期</x:v>
      </x:c>
      <x:c r="B197" s="13" t="str">
        <x:v>3. 作品、预览与下载</x:v>
      </x:c>
      <x:c r="C197" s="13" t="str">
        <x:v>WORK-003</x:v>
      </x:c>
      <x:c r="D197" s="13" t="str">
        <x:v>单图预览与下载</x:v>
      </x:c>
      <x:c r="E197" s="13" t="str">
        <x:v>FE-SINGLE-DL-06</x:v>
      </x:c>
      <x:c r="F197" s="13" t="str">
        <x:v>前端</x:v>
      </x:c>
      <x:c r="G197" s="13" t="str">
        <x:v>处理URL过期</x:v>
      </x:c>
      <x:c r="H197" s="13" t="str">
        <x:v>重新获取签名URL</x:v>
      </x:c>
      <x:c r="I197" s="13" t="str">
        <x:v>不暴露Bucket路径</x:v>
      </x:c>
      <x:c r="J197" s="13" t="str">
        <x:v>—</x:v>
      </x:c>
      <x:c r="K197" s="13" t="str">
        <x:v>待完成</x:v>
      </x:c>
      <x:c r="L197" s="13" t="str">
        <x:v>09-06～09-08</x:v>
      </x:c>
      <x:c r="M197" s="13" t="str">
        <x:v>—</x:v>
      </x:c>
      <x:c r="N197" s="13" t="str">
        <x:v>job/variant/asset UUID；archive_id UUID；归档键=用户+选择集+尺寸</x:v>
      </x:c>
      <x:c r="O197" s="13" t="str">
        <x:v>asset available/expired；archive queued/processing/ready/failed/expired</x:v>
      </x:c>
      <x:c r="P197" s="13" t="str">
        <x:v>无选择、未就绪、尺寸缺失、URL过期、资产清理、归档失败</x:v>
      </x:c>
      <x:c r="Q197" s="13" t="str">
        <x:v>本人所有权校验；私有Bucket；短时签名URL</x:v>
      </x:c>
      <x:c r="R197" s="13" t="str">
        <x:v>相同归档24小时复用；作品30天；有效PNG进入个人数据导出</x:v>
      </x:c>
    </x:row>
    <x:row r="198" ht="68" customHeight="1">
      <x:c r="A198" s="13" t="str">
        <x:v>第 2 期</x:v>
      </x:c>
      <x:c r="B198" s="13" t="str">
        <x:v>3. 作品、预览与下载</x:v>
      </x:c>
      <x:c r="C198" s="13" t="str">
        <x:v>WORK-003</x:v>
      </x:c>
      <x:c r="D198" s="13" t="str">
        <x:v>单图预览与下载</x:v>
      </x:c>
      <x:c r="E198" s="13" t="str">
        <x:v>FE-SINGLE-DL-07</x:v>
      </x:c>
      <x:c r="F198" s="13" t="str">
        <x:v>前端</x:v>
      </x:c>
      <x:c r="G198" s="13" t="str">
        <x:v>接入单图预览服务端接口</x:v>
      </x:c>
      <x:c r="H198" s="13" t="str">
        <x:v>variant download-url客户端适配器</x:v>
      </x:c>
      <x:c r="I198" s="13" t="str">
        <x:v>请求字段与共享Schema一致；不在组件内拼装不受控请求</x:v>
      </x:c>
      <x:c r="J198" s="13" t="str">
        <x:v>FE-SINGLE-DL-02</x:v>
      </x:c>
      <x:c r="K198" s="13" t="str">
        <x:v>待完成</x:v>
      </x:c>
      <x:c r="L198" s="13" t="str">
        <x:v>09-06～09-08</x:v>
      </x:c>
      <x:c r="M198" s="13" t="str">
        <x:v>—</x:v>
      </x:c>
      <x:c r="N198" s="13" t="str">
        <x:v>job/variant/asset UUID；archive_id UUID；归档键=用户+选择集+尺寸</x:v>
      </x:c>
      <x:c r="O198" s="13" t="str">
        <x:v>asset available/expired；archive queued/processing/ready/failed/expired</x:v>
      </x:c>
      <x:c r="P198" s="13" t="str">
        <x:v>无选择、未就绪、尺寸缺失、URL过期、资产清理、归档失败</x:v>
      </x:c>
      <x:c r="Q198" s="13" t="str">
        <x:v>本人所有权校验；私有Bucket；短时签名URL</x:v>
      </x:c>
      <x:c r="R198" s="13" t="str">
        <x:v>相同归档24小时复用；作品30天；有效PNG进入个人数据导出</x:v>
      </x:c>
    </x:row>
    <x:row r="199" ht="68" customHeight="1">
      <x:c r="A199" s="13" t="str">
        <x:v>第 2 期</x:v>
      </x:c>
      <x:c r="B199" s="13" t="str">
        <x:v>3. 作品、预览与下载</x:v>
      </x:c>
      <x:c r="C199" s="13" t="str">
        <x:v>WORK-003</x:v>
      </x:c>
      <x:c r="D199" s="13" t="str">
        <x:v>单图预览与下载</x:v>
      </x:c>
      <x:c r="E199" s="13" t="str">
        <x:v>FE-SINGLE-DL-08</x:v>
      </x:c>
      <x:c r="F199" s="13" t="str">
        <x:v>前端</x:v>
      </x:c>
      <x:c r="G199" s="13" t="str">
        <x:v>实现单图预览加载状态</x:v>
      </x:c>
      <x:c r="H199" s="13" t="str">
        <x:v>骨架屏或进度反馈</x:v>
      </x:c>
      <x:c r="I199" s="13" t="str">
        <x:v>请求期间有可感知反馈；重复操作被禁用</x:v>
      </x:c>
      <x:c r="J199" s="13" t="str">
        <x:v>FE-SINGLE-DL-02</x:v>
      </x:c>
      <x:c r="K199" s="13" t="str">
        <x:v>待完成</x:v>
      </x:c>
      <x:c r="L199" s="13" t="str">
        <x:v>09-06～09-08</x:v>
      </x:c>
      <x:c r="M199" s="13" t="str">
        <x:v>—</x:v>
      </x:c>
      <x:c r="N199" s="13" t="str">
        <x:v>job/variant/asset UUID；archive_id UUID；归档键=用户+选择集+尺寸</x:v>
      </x:c>
      <x:c r="O199" s="13" t="str">
        <x:v>asset available/expired；archive queued/processing/ready/failed/expired</x:v>
      </x:c>
      <x:c r="P199" s="13" t="str">
        <x:v>无选择、未就绪、尺寸缺失、URL过期、资产清理、归档失败</x:v>
      </x:c>
      <x:c r="Q199" s="13" t="str">
        <x:v>本人所有权校验；私有Bucket；短时签名URL</x:v>
      </x:c>
      <x:c r="R199" s="13" t="str">
        <x:v>相同归档24小时复用；作品30天；有效PNG进入个人数据导出</x:v>
      </x:c>
    </x:row>
    <x:row r="200" ht="68" customHeight="1">
      <x:c r="A200" s="13" t="str">
        <x:v>第 2 期</x:v>
      </x:c>
      <x:c r="B200" s="13" t="str">
        <x:v>3. 作品、预览与下载</x:v>
      </x:c>
      <x:c r="C200" s="13" t="str">
        <x:v>WORK-003</x:v>
      </x:c>
      <x:c r="D200" s="13" t="str">
        <x:v>单图预览与下载</x:v>
      </x:c>
      <x:c r="E200" s="13" t="str">
        <x:v>FE-SINGLE-DL-09</x:v>
      </x:c>
      <x:c r="F200" s="13" t="str">
        <x:v>前端</x:v>
      </x:c>
      <x:c r="G200" s="13" t="str">
        <x:v>实现单图预览错误映射</x:v>
      </x:c>
      <x:c r="H200" s="13" t="str">
        <x:v>稳定错误码到双语用户文案的映射</x:v>
      </x:c>
      <x:c r="I200" s="13" t="str">
        <x:v>业务错误可恢复；未知错误不泄露内部信息</x:v>
      </x:c>
      <x:c r="J200" s="13" t="str">
        <x:v>FE-SINGLE-DL-02</x:v>
      </x:c>
      <x:c r="K200" s="13" t="str">
        <x:v>待完成</x:v>
      </x:c>
      <x:c r="L200" s="13" t="str">
        <x:v>09-06～09-08</x:v>
      </x:c>
      <x:c r="M200" s="13" t="str">
        <x:v>—</x:v>
      </x:c>
      <x:c r="N200" s="13" t="str">
        <x:v>job/variant/asset UUID；archive_id UUID；归档键=用户+选择集+尺寸</x:v>
      </x:c>
      <x:c r="O200" s="13" t="str">
        <x:v>asset available/expired；archive queued/processing/ready/failed/expired</x:v>
      </x:c>
      <x:c r="P200" s="13" t="str">
        <x:v>无选择、未就绪、尺寸缺失、URL过期、资产清理、归档失败</x:v>
      </x:c>
      <x:c r="Q200" s="13" t="str">
        <x:v>本人所有权校验；私有Bucket；短时签名URL</x:v>
      </x:c>
      <x:c r="R200" s="13" t="str">
        <x:v>相同归档24小时复用；作品30天；有效PNG进入个人数据导出</x:v>
      </x:c>
    </x:row>
    <x:row r="201" ht="68" customHeight="1">
      <x:c r="A201" s="13" t="str">
        <x:v>第 2 期</x:v>
      </x:c>
      <x:c r="B201" s="13" t="str">
        <x:v>3. 作品、预览与下载</x:v>
      </x:c>
      <x:c r="C201" s="13" t="str">
        <x:v>WORK-003</x:v>
      </x:c>
      <x:c r="D201" s="13" t="str">
        <x:v>单图预览与下载</x:v>
      </x:c>
      <x:c r="E201" s="13" t="str">
        <x:v>FE-SINGLE-DL-10</x:v>
      </x:c>
      <x:c r="F201" s="13" t="str">
        <x:v>前端</x:v>
      </x:c>
      <x:c r="G201" s="13" t="str">
        <x:v>完成单图预览中英文文案</x:v>
      </x:c>
      <x:c r="H201" s="13" t="str">
        <x:v>en/zh词条</x:v>
      </x:c>
      <x:c r="I201" s="13" t="str">
        <x:v>切换语言后字段含义、按钮和错误保持一致</x:v>
      </x:c>
      <x:c r="J201" s="13" t="str">
        <x:v>—</x:v>
      </x:c>
      <x:c r="K201" s="13" t="str">
        <x:v>待完成</x:v>
      </x:c>
      <x:c r="L201" s="13" t="str">
        <x:v>09-06～09-08</x:v>
      </x:c>
      <x:c r="M201" s="13" t="str">
        <x:v>—</x:v>
      </x:c>
      <x:c r="N201" s="13" t="str">
        <x:v>job/variant/asset UUID；archive_id UUID；归档键=用户+选择集+尺寸</x:v>
      </x:c>
      <x:c r="O201" s="13" t="str">
        <x:v>asset available/expired；archive queued/processing/ready/failed/expired</x:v>
      </x:c>
      <x:c r="P201" s="13" t="str">
        <x:v>无选择、未就绪、尺寸缺失、URL过期、资产清理、归档失败</x:v>
      </x:c>
      <x:c r="Q201" s="13" t="str">
        <x:v>本人所有权校验；私有Bucket；短时签名URL</x:v>
      </x:c>
      <x:c r="R201" s="13" t="str">
        <x:v>相同归档24小时复用；作品30天；有效PNG进入个人数据导出</x:v>
      </x:c>
    </x:row>
    <x:row r="202" ht="68" customHeight="1">
      <x:c r="A202" s="13" t="str">
        <x:v>第 2 期</x:v>
      </x:c>
      <x:c r="B202" s="13" t="str">
        <x:v>3. 作品、预览与下载</x:v>
      </x:c>
      <x:c r="C202" s="13" t="str">
        <x:v>WORK-003</x:v>
      </x:c>
      <x:c r="D202" s="13" t="str">
        <x:v>单图预览与下载</x:v>
      </x:c>
      <x:c r="E202" s="13" t="str">
        <x:v>FE-SINGLE-DL-11</x:v>
      </x:c>
      <x:c r="F202" s="13" t="str">
        <x:v>前端</x:v>
      </x:c>
      <x:c r="G202" s="13" t="str">
        <x:v>完成单图预览键盘与屏幕阅读器支持</x:v>
      </x:c>
      <x:c r="H202" s="13" t="str">
        <x:v>语义标签、焦点顺序、aria-live</x:v>
      </x:c>
      <x:c r="I202" s="13" t="str">
        <x:v>仅键盘可完成主流程；错误与状态可被读出</x:v>
      </x:c>
      <x:c r="J202" s="13" t="str">
        <x:v>—</x:v>
      </x:c>
      <x:c r="K202" s="13" t="str">
        <x:v>待完成</x:v>
      </x:c>
      <x:c r="L202" s="13" t="str">
        <x:v>09-06～09-08</x:v>
      </x:c>
      <x:c r="M202" s="13" t="str">
        <x:v>—</x:v>
      </x:c>
      <x:c r="N202" s="13" t="str">
        <x:v>job/variant/asset UUID；archive_id UUID；归档键=用户+选择集+尺寸</x:v>
      </x:c>
      <x:c r="O202" s="13" t="str">
        <x:v>asset available/expired；archive queued/processing/ready/failed/expired</x:v>
      </x:c>
      <x:c r="P202" s="13" t="str">
        <x:v>无选择、未就绪、尺寸缺失、URL过期、资产清理、归档失败</x:v>
      </x:c>
      <x:c r="Q202" s="13" t="str">
        <x:v>本人所有权校验；私有Bucket；短时签名URL</x:v>
      </x:c>
      <x:c r="R202" s="13" t="str">
        <x:v>相同归档24小时复用；作品30天；有效PNG进入个人数据导出</x:v>
      </x:c>
    </x:row>
    <x:row r="203" ht="68" customHeight="1">
      <x:c r="A203" s="13" t="str">
        <x:v>第 2 期</x:v>
      </x:c>
      <x:c r="B203" s="13" t="str">
        <x:v>3. 作品、预览与下载</x:v>
      </x:c>
      <x:c r="C203" s="13" t="str">
        <x:v>WORK-003</x:v>
      </x:c>
      <x:c r="D203" s="13" t="str">
        <x:v>单图预览与下载</x:v>
      </x:c>
      <x:c r="E203" s="13" t="str">
        <x:v>FE-SINGLE-DL-12</x:v>
      </x:c>
      <x:c r="F203" s="13" t="str">
        <x:v>前端</x:v>
      </x:c>
      <x:c r="G203" s="13" t="str">
        <x:v>编写单图预览组件测试</x:v>
      </x:c>
      <x:c r="H203" s="13" t="str">
        <x:v>组件与交互测试</x:v>
      </x:c>
      <x:c r="I203" s="13" t="str">
        <x:v>覆盖成功、校验失败、服务端失败和重复点击</x:v>
      </x:c>
      <x:c r="J203" s="13" t="str">
        <x:v>—</x:v>
      </x:c>
      <x:c r="K203" s="13" t="str">
        <x:v>待完成</x:v>
      </x:c>
      <x:c r="L203" s="13" t="str">
        <x:v>09-06～09-08</x:v>
      </x:c>
      <x:c r="M203" s="13" t="str">
        <x:v>—</x:v>
      </x:c>
      <x:c r="N203" s="13" t="str">
        <x:v>job/variant/asset UUID；archive_id UUID；归档键=用户+选择集+尺寸</x:v>
      </x:c>
      <x:c r="O203" s="13" t="str">
        <x:v>asset available/expired；archive queued/processing/ready/failed/expired</x:v>
      </x:c>
      <x:c r="P203" s="13" t="str">
        <x:v>无选择、未就绪、尺寸缺失、URL过期、资产清理、归档失败</x:v>
      </x:c>
      <x:c r="Q203" s="13" t="str">
        <x:v>本人所有权校验；私有Bucket；短时签名URL</x:v>
      </x:c>
      <x:c r="R203" s="13" t="str">
        <x:v>相同归档24小时复用；作品30天；有效PNG进入个人数据导出</x:v>
      </x:c>
    </x:row>
    <x:row r="204" ht="68" customHeight="1">
      <x:c r="A204" s="13" t="str">
        <x:v>第 2 期</x:v>
      </x:c>
      <x:c r="B204" s="13" t="str">
        <x:v>3. 作品、预览与下载</x:v>
      </x:c>
      <x:c r="C204" s="13" t="str">
        <x:v>WORK-004</x:v>
      </x:c>
      <x:c r="D204" s="13" t="str">
        <x:v>选择结果ZIP下载</x:v>
      </x:c>
      <x:c r="E204" s="13" t="str">
        <x:v>FE-ZIP-01</x:v>
      </x:c>
      <x:c r="F204" s="13" t="str">
        <x:v>前端</x:v>
      </x:c>
      <x:c r="G204" s="13" t="str">
        <x:v>建立ZIP选择栏路由与页面边界</x:v>
      </x:c>
      <x:c r="H204" s="13" t="str">
        <x:v>ZIP选择栏路由、页面组件和Metadata</x:v>
      </x:c>
      <x:c r="I204" s="13" t="str">
        <x:v>直接访问路由可渲染；未授权跳转符合PRD；无运行时错误</x:v>
      </x:c>
      <x:c r="J204" s="13" t="str">
        <x:v>—</x:v>
      </x:c>
      <x:c r="K204" s="13" t="str">
        <x:v>待完成</x:v>
      </x:c>
      <x:c r="L204" s="13" t="str">
        <x:v>09-08～09-10</x:v>
      </x:c>
      <x:c r="M204" s="13" t="str">
        <x:v>—</x:v>
      </x:c>
      <x:c r="N204" s="13" t="str">
        <x:v>job/variant/asset UUID；archive_id UUID；归档键=用户+选择集+尺寸</x:v>
      </x:c>
      <x:c r="O204" s="13" t="str">
        <x:v>asset available/expired；archive queued/processing/ready/failed/expired</x:v>
      </x:c>
      <x:c r="P204" s="13" t="str">
        <x:v>无选择、未就绪、尺寸缺失、URL过期、资产清理、归档失败</x:v>
      </x:c>
      <x:c r="Q204" s="13" t="str">
        <x:v>本人所有权校验；私有Bucket；短时签名URL</x:v>
      </x:c>
      <x:c r="R204" s="13" t="str">
        <x:v>相同归档24小时复用；作品30天；有效PNG进入个人数据导出</x:v>
      </x:c>
    </x:row>
    <x:row r="205" ht="68" customHeight="1">
      <x:c r="A205" s="13" t="str">
        <x:v>第 2 期</x:v>
      </x:c>
      <x:c r="B205" s="13" t="str">
        <x:v>3. 作品、预览与下载</x:v>
      </x:c>
      <x:c r="C205" s="13" t="str">
        <x:v>WORK-004</x:v>
      </x:c>
      <x:c r="D205" s="13" t="str">
        <x:v>选择结果ZIP下载</x:v>
      </x:c>
      <x:c r="E205" s="13" t="str">
        <x:v>FE-ZIP-02</x:v>
      </x:c>
      <x:c r="F205" s="13" t="str">
        <x:v>前端</x:v>
      </x:c>
      <x:c r="G205" s="13" t="str">
        <x:v>定义ZIP选择栏页面状态模型</x:v>
      </x:c>
      <x:c r="H205" s="13" t="str">
        <x:v>页面状态类型与初始化逻辑</x:v>
      </x:c>
      <x:c r="I205" s="13" t="str">
        <x:v>每个状态只有一个含义；刷新后可恢复服务端状态</x:v>
      </x:c>
      <x:c r="J205" s="13" t="str">
        <x:v>FE-ZIP-01</x:v>
      </x:c>
      <x:c r="K205" s="13" t="str">
        <x:v>待完成</x:v>
      </x:c>
      <x:c r="L205" s="13" t="str">
        <x:v>09-08～09-10</x:v>
      </x:c>
      <x:c r="M205" s="13" t="str">
        <x:v>—</x:v>
      </x:c>
      <x:c r="N205" s="13" t="str">
        <x:v>job/variant/asset UUID；archive_id UUID；归档键=用户+选择集+尺寸</x:v>
      </x:c>
      <x:c r="O205" s="13" t="str">
        <x:v>asset available/expired；archive queued/processing/ready/failed/expired</x:v>
      </x:c>
      <x:c r="P205" s="13" t="str">
        <x:v>无选择、未就绪、尺寸缺失、URL过期、资产清理、归档失败</x:v>
      </x:c>
      <x:c r="Q205" s="13" t="str">
        <x:v>本人所有权校验；私有Bucket；短时签名URL</x:v>
      </x:c>
      <x:c r="R205" s="13" t="str">
        <x:v>相同归档24小时复用；作品30天；有效PNG进入个人数据导出</x:v>
      </x:c>
    </x:row>
    <x:row r="206" ht="68" customHeight="1">
      <x:c r="A206" s="13" t="str">
        <x:v>第 2 期</x:v>
      </x:c>
      <x:c r="B206" s="13" t="str">
        <x:v>3. 作品、预览与下载</x:v>
      </x:c>
      <x:c r="C206" s="13" t="str">
        <x:v>WORK-004</x:v>
      </x:c>
      <x:c r="D206" s="13" t="str">
        <x:v>选择结果ZIP下载</x:v>
      </x:c>
      <x:c r="E206" s="13" t="str">
        <x:v>FE-ZIP-03</x:v>
      </x:c>
      <x:c r="F206" s="13" t="str">
        <x:v>前端</x:v>
      </x:c>
      <x:c r="G206" s="13" t="str">
        <x:v>展示选中数量</x:v>
      </x:c>
      <x:c r="H206" s="13" t="str">
        <x:v>Selected X</x:v>
      </x:c>
      <x:c r="I206" s="13" t="str">
        <x:v>与结果网格同步</x:v>
      </x:c>
      <x:c r="J206" s="13" t="str">
        <x:v>—</x:v>
      </x:c>
      <x:c r="K206" s="13" t="str">
        <x:v>待完成</x:v>
      </x:c>
      <x:c r="L206" s="13" t="str">
        <x:v>09-08～09-10</x:v>
      </x:c>
      <x:c r="M206" s="13" t="str">
        <x:v>—</x:v>
      </x:c>
      <x:c r="N206" s="13" t="str">
        <x:v>job/variant/asset UUID；archive_id UUID；归档键=用户+选择集+尺寸</x:v>
      </x:c>
      <x:c r="O206" s="13" t="str">
        <x:v>asset available/expired；archive queued/processing/ready/failed/expired</x:v>
      </x:c>
      <x:c r="P206" s="13" t="str">
        <x:v>无选择、未就绪、尺寸缺失、URL过期、资产清理、归档失败</x:v>
      </x:c>
      <x:c r="Q206" s="13" t="str">
        <x:v>本人所有权校验；私有Bucket；短时签名URL</x:v>
      </x:c>
      <x:c r="R206" s="13" t="str">
        <x:v>相同归档24小时复用；作品30天；有效PNG进入个人数据导出</x:v>
      </x:c>
    </x:row>
    <x:row r="207" ht="68" customHeight="1">
      <x:c r="A207" s="13" t="str">
        <x:v>第 2 期</x:v>
      </x:c>
      <x:c r="B207" s="13" t="str">
        <x:v>3. 作品、预览与下载</x:v>
      </x:c>
      <x:c r="C207" s="13" t="str">
        <x:v>WORK-004</x:v>
      </x:c>
      <x:c r="D207" s="13" t="str">
        <x:v>选择结果ZIP下载</x:v>
      </x:c>
      <x:c r="E207" s="13" t="str">
        <x:v>FE-ZIP-04</x:v>
      </x:c>
      <x:c r="F207" s="13" t="str">
        <x:v>前端</x:v>
      </x:c>
      <x:c r="G207" s="13" t="str">
        <x:v>实现全选和清除</x:v>
      </x:c>
      <x:c r="H207" s="13" t="str">
        <x:v>批量选择动作</x:v>
      </x:c>
      <x:c r="I207" s="13" t="str">
        <x:v>仅作用可用结果</x:v>
      </x:c>
      <x:c r="J207" s="13" t="str">
        <x:v>—</x:v>
      </x:c>
      <x:c r="K207" s="13" t="str">
        <x:v>待完成</x:v>
      </x:c>
      <x:c r="L207" s="13" t="str">
        <x:v>09-08～09-10</x:v>
      </x:c>
      <x:c r="M207" s="13" t="str">
        <x:v>—</x:v>
      </x:c>
      <x:c r="N207" s="13" t="str">
        <x:v>job/variant/asset UUID；archive_id UUID；归档键=用户+选择集+尺寸</x:v>
      </x:c>
      <x:c r="O207" s="13" t="str">
        <x:v>asset available/expired；archive queued/processing/ready/failed/expired</x:v>
      </x:c>
      <x:c r="P207" s="13" t="str">
        <x:v>无选择、未就绪、尺寸缺失、URL过期、资产清理、归档失败</x:v>
      </x:c>
      <x:c r="Q207" s="13" t="str">
        <x:v>本人所有权校验；私有Bucket；短时签名URL</x:v>
      </x:c>
      <x:c r="R207" s="13" t="str">
        <x:v>相同归档24小时复用；作品30天；有效PNG进入个人数据导出</x:v>
      </x:c>
    </x:row>
    <x:row r="208" ht="68" customHeight="1">
      <x:c r="A208" s="13" t="str">
        <x:v>第 2 期</x:v>
      </x:c>
      <x:c r="B208" s="13" t="str">
        <x:v>3. 作品、预览与下载</x:v>
      </x:c>
      <x:c r="C208" s="13" t="str">
        <x:v>WORK-004</x:v>
      </x:c>
      <x:c r="D208" s="13" t="str">
        <x:v>选择结果ZIP下载</x:v>
      </x:c>
      <x:c r="E208" s="13" t="str">
        <x:v>FE-ZIP-05</x:v>
      </x:c>
      <x:c r="F208" s="13" t="str">
        <x:v>前端</x:v>
      </x:c>
      <x:c r="G208" s="13" t="str">
        <x:v>阻止空选择下载</x:v>
      </x:c>
      <x:c r="H208" s="13" t="str">
        <x:v>NO_RESULTS_SELECTED提示</x:v>
      </x:c>
      <x:c r="I208" s="13" t="str">
        <x:v>不发送归档请求</x:v>
      </x:c>
      <x:c r="J208" s="13" t="str">
        <x:v>—</x:v>
      </x:c>
      <x:c r="K208" s="13" t="str">
        <x:v>待完成</x:v>
      </x:c>
      <x:c r="L208" s="13" t="str">
        <x:v>09-08～09-10</x:v>
      </x:c>
      <x:c r="M208" s="13" t="str">
        <x:v>—</x:v>
      </x:c>
      <x:c r="N208" s="13" t="str">
        <x:v>job/variant/asset UUID；archive_id UUID；归档键=用户+选择集+尺寸</x:v>
      </x:c>
      <x:c r="O208" s="13" t="str">
        <x:v>asset available/expired；archive queued/processing/ready/failed/expired</x:v>
      </x:c>
      <x:c r="P208" s="13" t="str">
        <x:v>无选择、未就绪、尺寸缺失、URL过期、资产清理、归档失败</x:v>
      </x:c>
      <x:c r="Q208" s="13" t="str">
        <x:v>本人所有权校验；私有Bucket；短时签名URL</x:v>
      </x:c>
      <x:c r="R208" s="13" t="str">
        <x:v>相同归档24小时复用；作品30天；有效PNG进入个人数据导出</x:v>
      </x:c>
    </x:row>
    <x:row r="209" ht="68" customHeight="1">
      <x:c r="A209" s="13" t="str">
        <x:v>第 2 期</x:v>
      </x:c>
      <x:c r="B209" s="13" t="str">
        <x:v>3. 作品、预览与下载</x:v>
      </x:c>
      <x:c r="C209" s="13" t="str">
        <x:v>WORK-004</x:v>
      </x:c>
      <x:c r="D209" s="13" t="str">
        <x:v>选择结果ZIP下载</x:v>
      </x:c>
      <x:c r="E209" s="13" t="str">
        <x:v>FE-ZIP-06</x:v>
      </x:c>
      <x:c r="F209" s="13" t="str">
        <x:v>前端</x:v>
      </x:c>
      <x:c r="G209" s="13" t="str">
        <x:v>选择ZIP尺寸</x:v>
      </x:c>
      <x:c r="H209" s="13" t="str">
        <x:v>允许尺寸多选</x:v>
      </x:c>
      <x:c r="I209" s="13" t="str">
        <x:v>服务端仍重新校验</x:v>
      </x:c>
      <x:c r="J209" s="13" t="str">
        <x:v>—</x:v>
      </x:c>
      <x:c r="K209" s="13" t="str">
        <x:v>待完成</x:v>
      </x:c>
      <x:c r="L209" s="13" t="str">
        <x:v>09-08～09-10</x:v>
      </x:c>
      <x:c r="M209" s="13" t="str">
        <x:v>—</x:v>
      </x:c>
      <x:c r="N209" s="13" t="str">
        <x:v>job/variant/asset UUID；archive_id UUID；归档键=用户+选择集+尺寸</x:v>
      </x:c>
      <x:c r="O209" s="13" t="str">
        <x:v>asset available/expired；archive queued/processing/ready/failed/expired</x:v>
      </x:c>
      <x:c r="P209" s="13" t="str">
        <x:v>无选择、未就绪、尺寸缺失、URL过期、资产清理、归档失败</x:v>
      </x:c>
      <x:c r="Q209" s="13" t="str">
        <x:v>本人所有权校验；私有Bucket；短时签名URL</x:v>
      </x:c>
      <x:c r="R209" s="13" t="str">
        <x:v>相同归档24小时复用；作品30天；有效PNG进入个人数据导出</x:v>
      </x:c>
    </x:row>
    <x:row r="210" ht="68" customHeight="1">
      <x:c r="A210" s="13" t="str">
        <x:v>第 2 期</x:v>
      </x:c>
      <x:c r="B210" s="13" t="str">
        <x:v>3. 作品、预览与下载</x:v>
      </x:c>
      <x:c r="C210" s="13" t="str">
        <x:v>WORK-004</x:v>
      </x:c>
      <x:c r="D210" s="13" t="str">
        <x:v>选择结果ZIP下载</x:v>
      </x:c>
      <x:c r="E210" s="13" t="str">
        <x:v>FE-ZIP-07</x:v>
      </x:c>
      <x:c r="F210" s="13" t="str">
        <x:v>前端</x:v>
      </x:c>
      <x:c r="G210" s="13" t="str">
        <x:v>展示归档进度</x:v>
      </x:c>
      <x:c r="H210" s="13" t="str">
        <x:v>queued/processing/ready/failed/expired</x:v>
      </x:c>
      <x:c r="I210" s="13" t="str">
        <x:v>失败可重试；过期可重建</x:v>
      </x:c>
      <x:c r="J210" s="13" t="str">
        <x:v>—</x:v>
      </x:c>
      <x:c r="K210" s="13" t="str">
        <x:v>待完成</x:v>
      </x:c>
      <x:c r="L210" s="13" t="str">
        <x:v>09-08～09-10</x:v>
      </x:c>
      <x:c r="M210" s="13" t="str">
        <x:v>—</x:v>
      </x:c>
      <x:c r="N210" s="13" t="str">
        <x:v>job/variant/asset UUID；archive_id UUID；归档键=用户+选择集+尺寸</x:v>
      </x:c>
      <x:c r="O210" s="13" t="str">
        <x:v>asset available/expired；archive queued/processing/ready/failed/expired</x:v>
      </x:c>
      <x:c r="P210" s="13" t="str">
        <x:v>无选择、未就绪、尺寸缺失、URL过期、资产清理、归档失败</x:v>
      </x:c>
      <x:c r="Q210" s="13" t="str">
        <x:v>本人所有权校验；私有Bucket；短时签名URL</x:v>
      </x:c>
      <x:c r="R210" s="13" t="str">
        <x:v>相同归档24小时复用；作品30天；有效PNG进入个人数据导出</x:v>
      </x:c>
    </x:row>
    <x:row r="211" ht="68" customHeight="1">
      <x:c r="A211" s="13" t="str">
        <x:v>第 2 期</x:v>
      </x:c>
      <x:c r="B211" s="13" t="str">
        <x:v>3. 作品、预览与下载</x:v>
      </x:c>
      <x:c r="C211" s="13" t="str">
        <x:v>WORK-004</x:v>
      </x:c>
      <x:c r="D211" s="13" t="str">
        <x:v>选择结果ZIP下载</x:v>
      </x:c>
      <x:c r="E211" s="13" t="str">
        <x:v>FE-ZIP-08</x:v>
      </x:c>
      <x:c r="F211" s="13" t="str">
        <x:v>前端</x:v>
      </x:c>
      <x:c r="G211" s="13" t="str">
        <x:v>触发ZIP下载</x:v>
      </x:c>
      <x:c r="H211" s="13" t="str">
        <x:v>ready短时URL</x:v>
      </x:c>
      <x:c r="I211" s="13" t="str">
        <x:v>文件名和内容类型正确</x:v>
      </x:c>
      <x:c r="J211" s="13" t="str">
        <x:v>—</x:v>
      </x:c>
      <x:c r="K211" s="13" t="str">
        <x:v>待完成</x:v>
      </x:c>
      <x:c r="L211" s="13" t="str">
        <x:v>09-08～09-10</x:v>
      </x:c>
      <x:c r="M211" s="13" t="str">
        <x:v>—</x:v>
      </x:c>
      <x:c r="N211" s="13" t="str">
        <x:v>job/variant/asset UUID；archive_id UUID；归档键=用户+选择集+尺寸</x:v>
      </x:c>
      <x:c r="O211" s="13" t="str">
        <x:v>asset available/expired；archive queued/processing/ready/failed/expired</x:v>
      </x:c>
      <x:c r="P211" s="13" t="str">
        <x:v>无选择、未就绪、尺寸缺失、URL过期、资产清理、归档失败</x:v>
      </x:c>
      <x:c r="Q211" s="13" t="str">
        <x:v>本人所有权校验；私有Bucket；短时签名URL</x:v>
      </x:c>
      <x:c r="R211" s="13" t="str">
        <x:v>相同归档24小时复用；作品30天；有效PNG进入个人数据导出</x:v>
      </x:c>
    </x:row>
    <x:row r="212" ht="68" customHeight="1">
      <x:c r="A212" s="13" t="str">
        <x:v>第 2 期</x:v>
      </x:c>
      <x:c r="B212" s="13" t="str">
        <x:v>3. 作品、预览与下载</x:v>
      </x:c>
      <x:c r="C212" s="13" t="str">
        <x:v>WORK-004</x:v>
      </x:c>
      <x:c r="D212" s="13" t="str">
        <x:v>选择结果ZIP下载</x:v>
      </x:c>
      <x:c r="E212" s="13" t="str">
        <x:v>FE-ZIP-09</x:v>
      </x:c>
      <x:c r="F212" s="13" t="str">
        <x:v>前端</x:v>
      </x:c>
      <x:c r="G212" s="13" t="str">
        <x:v>接入ZIP选择栏服务端接口</x:v>
      </x:c>
      <x:c r="H212" s="13" t="str">
        <x:v>POST/GET downloads客户端适配器</x:v>
      </x:c>
      <x:c r="I212" s="13" t="str">
        <x:v>请求字段与共享Schema一致；不在组件内拼装不受控请求</x:v>
      </x:c>
      <x:c r="J212" s="13" t="str">
        <x:v>FE-ZIP-02</x:v>
      </x:c>
      <x:c r="K212" s="13" t="str">
        <x:v>待完成</x:v>
      </x:c>
      <x:c r="L212" s="13" t="str">
        <x:v>09-08～09-10</x:v>
      </x:c>
      <x:c r="M212" s="13" t="str">
        <x:v>—</x:v>
      </x:c>
      <x:c r="N212" s="13" t="str">
        <x:v>job/variant/asset UUID；archive_id UUID；归档键=用户+选择集+尺寸</x:v>
      </x:c>
      <x:c r="O212" s="13" t="str">
        <x:v>asset available/expired；archive queued/processing/ready/failed/expired</x:v>
      </x:c>
      <x:c r="P212" s="13" t="str">
        <x:v>无选择、未就绪、尺寸缺失、URL过期、资产清理、归档失败</x:v>
      </x:c>
      <x:c r="Q212" s="13" t="str">
        <x:v>本人所有权校验；私有Bucket；短时签名URL</x:v>
      </x:c>
      <x:c r="R212" s="13" t="str">
        <x:v>相同归档24小时复用；作品30天；有效PNG进入个人数据导出</x:v>
      </x:c>
    </x:row>
    <x:row r="213" ht="68" customHeight="1">
      <x:c r="A213" s="13" t="str">
        <x:v>第 2 期</x:v>
      </x:c>
      <x:c r="B213" s="13" t="str">
        <x:v>3. 作品、预览与下载</x:v>
      </x:c>
      <x:c r="C213" s="13" t="str">
        <x:v>WORK-004</x:v>
      </x:c>
      <x:c r="D213" s="13" t="str">
        <x:v>选择结果ZIP下载</x:v>
      </x:c>
      <x:c r="E213" s="13" t="str">
        <x:v>FE-ZIP-10</x:v>
      </x:c>
      <x:c r="F213" s="13" t="str">
        <x:v>前端</x:v>
      </x:c>
      <x:c r="G213" s="13" t="str">
        <x:v>实现ZIP选择栏加载状态</x:v>
      </x:c>
      <x:c r="H213" s="13" t="str">
        <x:v>骨架屏或进度反馈</x:v>
      </x:c>
      <x:c r="I213" s="13" t="str">
        <x:v>请求期间有可感知反馈；重复操作被禁用</x:v>
      </x:c>
      <x:c r="J213" s="13" t="str">
        <x:v>FE-ZIP-02</x:v>
      </x:c>
      <x:c r="K213" s="13" t="str">
        <x:v>待完成</x:v>
      </x:c>
      <x:c r="L213" s="13" t="str">
        <x:v>09-08～09-10</x:v>
      </x:c>
      <x:c r="M213" s="13" t="str">
        <x:v>—</x:v>
      </x:c>
      <x:c r="N213" s="13" t="str">
        <x:v>job/variant/asset UUID；archive_id UUID；归档键=用户+选择集+尺寸</x:v>
      </x:c>
      <x:c r="O213" s="13" t="str">
        <x:v>asset available/expired；archive queued/processing/ready/failed/expired</x:v>
      </x:c>
      <x:c r="P213" s="13" t="str">
        <x:v>无选择、未就绪、尺寸缺失、URL过期、资产清理、归档失败</x:v>
      </x:c>
      <x:c r="Q213" s="13" t="str">
        <x:v>本人所有权校验；私有Bucket；短时签名URL</x:v>
      </x:c>
      <x:c r="R213" s="13" t="str">
        <x:v>相同归档24小时复用；作品30天；有效PNG进入个人数据导出</x:v>
      </x:c>
    </x:row>
    <x:row r="214" ht="68" customHeight="1">
      <x:c r="A214" s="13" t="str">
        <x:v>第 2 期</x:v>
      </x:c>
      <x:c r="B214" s="13" t="str">
        <x:v>3. 作品、预览与下载</x:v>
      </x:c>
      <x:c r="C214" s="13" t="str">
        <x:v>WORK-004</x:v>
      </x:c>
      <x:c r="D214" s="13" t="str">
        <x:v>选择结果ZIP下载</x:v>
      </x:c>
      <x:c r="E214" s="13" t="str">
        <x:v>FE-ZIP-11</x:v>
      </x:c>
      <x:c r="F214" s="13" t="str">
        <x:v>前端</x:v>
      </x:c>
      <x:c r="G214" s="13" t="str">
        <x:v>实现ZIP选择栏错误映射</x:v>
      </x:c>
      <x:c r="H214" s="13" t="str">
        <x:v>稳定错误码到双语用户文案的映射</x:v>
      </x:c>
      <x:c r="I214" s="13" t="str">
        <x:v>业务错误可恢复；未知错误不泄露内部信息</x:v>
      </x:c>
      <x:c r="J214" s="13" t="str">
        <x:v>FE-ZIP-02</x:v>
      </x:c>
      <x:c r="K214" s="13" t="str">
        <x:v>待完成</x:v>
      </x:c>
      <x:c r="L214" s="13" t="str">
        <x:v>09-08～09-10</x:v>
      </x:c>
      <x:c r="M214" s="13" t="str">
        <x:v>—</x:v>
      </x:c>
      <x:c r="N214" s="13" t="str">
        <x:v>job/variant/asset UUID；archive_id UUID；归档键=用户+选择集+尺寸</x:v>
      </x:c>
      <x:c r="O214" s="13" t="str">
        <x:v>asset available/expired；archive queued/processing/ready/failed/expired</x:v>
      </x:c>
      <x:c r="P214" s="13" t="str">
        <x:v>无选择、未就绪、尺寸缺失、URL过期、资产清理、归档失败</x:v>
      </x:c>
      <x:c r="Q214" s="13" t="str">
        <x:v>本人所有权校验；私有Bucket；短时签名URL</x:v>
      </x:c>
      <x:c r="R214" s="13" t="str">
        <x:v>相同归档24小时复用；作品30天；有效PNG进入个人数据导出</x:v>
      </x:c>
    </x:row>
    <x:row r="215" ht="68" customHeight="1">
      <x:c r="A215" s="13" t="str">
        <x:v>第 2 期</x:v>
      </x:c>
      <x:c r="B215" s="13" t="str">
        <x:v>3. 作品、预览与下载</x:v>
      </x:c>
      <x:c r="C215" s="13" t="str">
        <x:v>WORK-004</x:v>
      </x:c>
      <x:c r="D215" s="13" t="str">
        <x:v>选择结果ZIP下载</x:v>
      </x:c>
      <x:c r="E215" s="13" t="str">
        <x:v>FE-ZIP-12</x:v>
      </x:c>
      <x:c r="F215" s="13" t="str">
        <x:v>前端</x:v>
      </x:c>
      <x:c r="G215" s="13" t="str">
        <x:v>完成ZIP选择栏中英文文案</x:v>
      </x:c>
      <x:c r="H215" s="13" t="str">
        <x:v>en/zh词条</x:v>
      </x:c>
      <x:c r="I215" s="13" t="str">
        <x:v>切换语言后字段含义、按钮和错误保持一致</x:v>
      </x:c>
      <x:c r="J215" s="13" t="str">
        <x:v>—</x:v>
      </x:c>
      <x:c r="K215" s="13" t="str">
        <x:v>待完成</x:v>
      </x:c>
      <x:c r="L215" s="13" t="str">
        <x:v>09-08～09-10</x:v>
      </x:c>
      <x:c r="M215" s="13" t="str">
        <x:v>—</x:v>
      </x:c>
      <x:c r="N215" s="13" t="str">
        <x:v>job/variant/asset UUID；archive_id UUID；归档键=用户+选择集+尺寸</x:v>
      </x:c>
      <x:c r="O215" s="13" t="str">
        <x:v>asset available/expired；archive queued/processing/ready/failed/expired</x:v>
      </x:c>
      <x:c r="P215" s="13" t="str">
        <x:v>无选择、未就绪、尺寸缺失、URL过期、资产清理、归档失败</x:v>
      </x:c>
      <x:c r="Q215" s="13" t="str">
        <x:v>本人所有权校验；私有Bucket；短时签名URL</x:v>
      </x:c>
      <x:c r="R215" s="13" t="str">
        <x:v>相同归档24小时复用；作品30天；有效PNG进入个人数据导出</x:v>
      </x:c>
    </x:row>
    <x:row r="216" ht="68" customHeight="1">
      <x:c r="A216" s="13" t="str">
        <x:v>第 2 期</x:v>
      </x:c>
      <x:c r="B216" s="13" t="str">
        <x:v>3. 作品、预览与下载</x:v>
      </x:c>
      <x:c r="C216" s="13" t="str">
        <x:v>WORK-004</x:v>
      </x:c>
      <x:c r="D216" s="13" t="str">
        <x:v>选择结果ZIP下载</x:v>
      </x:c>
      <x:c r="E216" s="13" t="str">
        <x:v>FE-ZIP-13</x:v>
      </x:c>
      <x:c r="F216" s="13" t="str">
        <x:v>前端</x:v>
      </x:c>
      <x:c r="G216" s="13" t="str">
        <x:v>完成ZIP选择栏键盘与屏幕阅读器支持</x:v>
      </x:c>
      <x:c r="H216" s="13" t="str">
        <x:v>语义标签、焦点顺序、aria-live</x:v>
      </x:c>
      <x:c r="I216" s="13" t="str">
        <x:v>仅键盘可完成主流程；错误与状态可被读出</x:v>
      </x:c>
      <x:c r="J216" s="13" t="str">
        <x:v>—</x:v>
      </x:c>
      <x:c r="K216" s="13" t="str">
        <x:v>待完成</x:v>
      </x:c>
      <x:c r="L216" s="13" t="str">
        <x:v>09-08～09-10</x:v>
      </x:c>
      <x:c r="M216" s="13" t="str">
        <x:v>—</x:v>
      </x:c>
      <x:c r="N216" s="13" t="str">
        <x:v>job/variant/asset UUID；archive_id UUID；归档键=用户+选择集+尺寸</x:v>
      </x:c>
      <x:c r="O216" s="13" t="str">
        <x:v>asset available/expired；archive queued/processing/ready/failed/expired</x:v>
      </x:c>
      <x:c r="P216" s="13" t="str">
        <x:v>无选择、未就绪、尺寸缺失、URL过期、资产清理、归档失败</x:v>
      </x:c>
      <x:c r="Q216" s="13" t="str">
        <x:v>本人所有权校验；私有Bucket；短时签名URL</x:v>
      </x:c>
      <x:c r="R216" s="13" t="str">
        <x:v>相同归档24小时复用；作品30天；有效PNG进入个人数据导出</x:v>
      </x:c>
    </x:row>
    <x:row r="217" ht="68" customHeight="1">
      <x:c r="A217" s="13" t="str">
        <x:v>第 2 期</x:v>
      </x:c>
      <x:c r="B217" s="13" t="str">
        <x:v>3. 作品、预览与下载</x:v>
      </x:c>
      <x:c r="C217" s="13" t="str">
        <x:v>WORK-004</x:v>
      </x:c>
      <x:c r="D217" s="13" t="str">
        <x:v>选择结果ZIP下载</x:v>
      </x:c>
      <x:c r="E217" s="13" t="str">
        <x:v>FE-ZIP-14</x:v>
      </x:c>
      <x:c r="F217" s="13" t="str">
        <x:v>前端</x:v>
      </x:c>
      <x:c r="G217" s="13" t="str">
        <x:v>编写ZIP选择栏组件测试</x:v>
      </x:c>
      <x:c r="H217" s="13" t="str">
        <x:v>组件与交互测试</x:v>
      </x:c>
      <x:c r="I217" s="13" t="str">
        <x:v>覆盖成功、校验失败、服务端失败和重复点击</x:v>
      </x:c>
      <x:c r="J217" s="13" t="str">
        <x:v>—</x:v>
      </x:c>
      <x:c r="K217" s="13" t="str">
        <x:v>待完成</x:v>
      </x:c>
      <x:c r="L217" s="13" t="str">
        <x:v>09-08～09-10</x:v>
      </x:c>
      <x:c r="M217" s="13" t="str">
        <x:v>—</x:v>
      </x:c>
      <x:c r="N217" s="13" t="str">
        <x:v>job/variant/asset UUID；archive_id UUID；归档键=用户+选择集+尺寸</x:v>
      </x:c>
      <x:c r="O217" s="13" t="str">
        <x:v>asset available/expired；archive queued/processing/ready/failed/expired</x:v>
      </x:c>
      <x:c r="P217" s="13" t="str">
        <x:v>无选择、未就绪、尺寸缺失、URL过期、资产清理、归档失败</x:v>
      </x:c>
      <x:c r="Q217" s="13" t="str">
        <x:v>本人所有权校验；私有Bucket；短时签名URL</x:v>
      </x:c>
      <x:c r="R217" s="13" t="str">
        <x:v>相同归档24小时复用；作品30天；有效PNG进入个人数据导出</x:v>
      </x:c>
    </x:row>
    <x:row r="218" ht="68" customHeight="1">
      <x:c r="A218" s="13" t="str">
        <x:v>第 3 期</x:v>
      </x:c>
      <x:c r="B218" s="13" t="str">
        <x:v>4. 点数与商业化</x:v>
      </x:c>
      <x:c r="C218" s="13" t="str">
        <x:v>BILL-001/003</x:v>
      </x:c>
      <x:c r="D218" s="13" t="str">
        <x:v>点数包与Checkout</x:v>
      </x:c>
      <x:c r="E218" s="13" t="str">
        <x:v>FE-CHECKOUT-01</x:v>
      </x:c>
      <x:c r="F218" s="13" t="str">
        <x:v>前端</x:v>
      </x:c>
      <x:c r="G218" s="13" t="str">
        <x:v>建立价格与购买流程路由与页面边界</x:v>
      </x:c>
      <x:c r="H218" s="13" t="str">
        <x:v>价格与购买流程路由、页面组件和Metadata</x:v>
      </x:c>
      <x:c r="I218" s="13" t="str">
        <x:v>直接访问路由可渲染；未授权跳转符合PRD；无运行时错误</x:v>
      </x:c>
      <x:c r="J218" s="13" t="str">
        <x:v>—</x:v>
      </x:c>
      <x:c r="K218" s="13" t="str">
        <x:v>待完成</x:v>
      </x:c>
      <x:c r="L218" s="13" t="str">
        <x:v>09-15～09-17</x:v>
      </x:c>
      <x:c r="M218" s="13" t="str">
        <x:v>—</x:v>
      </x:c>
      <x:c r="N218" s="13" t="str">
        <x:v>order UUID+后端业务订单号；ledger UUID；Stripe session/payment/event ID；价格版本</x:v>
      </x:c>
      <x:c r="O218" s="13" t="str">
        <x:v>order pending/paid/canceled/expired/failed/refunded；账本不可变</x:v>
      </x:c>
      <x:c r="P218" s="13" t="str">
        <x:v>套餐改价、重复点击、Checkout失败、Webhook重放/乱序/伪造、退款争议</x:v>
      </x:c>
      <x:c r="Q218" s="13" t="str">
        <x:v>用户只读本人订单/账本；仅验签Webhook入账；人工调点需授权</x:v>
      </x:c>
      <x:c r="R218" s="13" t="str">
        <x:v>下单键防重复；Event ID去重；订单行锁原子入账；订单/账本进入导出</x:v>
      </x:c>
    </x:row>
    <x:row r="219" ht="68" customHeight="1">
      <x:c r="A219" s="13" t="str">
        <x:v>第 3 期</x:v>
      </x:c>
      <x:c r="B219" s="13" t="str">
        <x:v>4. 点数与商业化</x:v>
      </x:c>
      <x:c r="C219" s="13" t="str">
        <x:v>BILL-001/003</x:v>
      </x:c>
      <x:c r="D219" s="13" t="str">
        <x:v>点数包与Checkout</x:v>
      </x:c>
      <x:c r="E219" s="13" t="str">
        <x:v>FE-CHECKOUT-02</x:v>
      </x:c>
      <x:c r="F219" s="13" t="str">
        <x:v>前端</x:v>
      </x:c>
      <x:c r="G219" s="13" t="str">
        <x:v>定义价格与购买流程页面状态模型</x:v>
      </x:c>
      <x:c r="H219" s="13" t="str">
        <x:v>页面状态类型与初始化逻辑</x:v>
      </x:c>
      <x:c r="I219" s="13" t="str">
        <x:v>每个状态只有一个含义；刷新后可恢复服务端状态</x:v>
      </x:c>
      <x:c r="J219" s="13" t="str">
        <x:v>FE-CHECKOUT-01</x:v>
      </x:c>
      <x:c r="K219" s="13" t="str">
        <x:v>待完成</x:v>
      </x:c>
      <x:c r="L219" s="13" t="str">
        <x:v>09-15～09-17</x:v>
      </x:c>
      <x:c r="M219" s="13" t="str">
        <x:v>—</x:v>
      </x:c>
      <x:c r="N219" s="13" t="str">
        <x:v>order UUID+后端业务订单号；ledger UUID；Stripe session/payment/event ID；价格版本</x:v>
      </x:c>
      <x:c r="O219" s="13" t="str">
        <x:v>order pending/paid/canceled/expired/failed/refunded；账本不可变</x:v>
      </x:c>
      <x:c r="P219" s="13" t="str">
        <x:v>套餐改价、重复点击、Checkout失败、Webhook重放/乱序/伪造、退款争议</x:v>
      </x:c>
      <x:c r="Q219" s="13" t="str">
        <x:v>用户只读本人订单/账本；仅验签Webhook入账；人工调点需授权</x:v>
      </x:c>
      <x:c r="R219" s="13" t="str">
        <x:v>下单键防重复；Event ID去重；订单行锁原子入账；订单/账本进入导出</x:v>
      </x:c>
    </x:row>
    <x:row r="220" ht="68" customHeight="1">
      <x:c r="A220" s="13" t="str">
        <x:v>第 3 期</x:v>
      </x:c>
      <x:c r="B220" s="13" t="str">
        <x:v>4. 点数与商业化</x:v>
      </x:c>
      <x:c r="C220" s="13" t="str">
        <x:v>BILL-001/003</x:v>
      </x:c>
      <x:c r="D220" s="13" t="str">
        <x:v>点数包与Checkout</x:v>
      </x:c>
      <x:c r="E220" s="13" t="str">
        <x:v>FE-CHECKOUT-03</x:v>
      </x:c>
      <x:c r="F220" s="13" t="str">
        <x:v>前端</x:v>
      </x:c>
      <x:c r="G220" s="13" t="str">
        <x:v>加载启用点数包</x:v>
      </x:c>
      <x:c r="H220" s="13" t="str">
        <x:v>服务端套餐和价格版本</x:v>
      </x:c>
      <x:c r="I220" s="13" t="str">
        <x:v>停用套餐不展示</x:v>
      </x:c>
      <x:c r="J220" s="13" t="str">
        <x:v>—</x:v>
      </x:c>
      <x:c r="K220" s="13" t="str">
        <x:v>待完成</x:v>
      </x:c>
      <x:c r="L220" s="13" t="str">
        <x:v>09-15～09-17</x:v>
      </x:c>
      <x:c r="M220" s="13" t="str">
        <x:v>—</x:v>
      </x:c>
      <x:c r="N220" s="13" t="str">
        <x:v>order UUID+后端业务订单号；ledger UUID；Stripe session/payment/event ID；价格版本</x:v>
      </x:c>
      <x:c r="O220" s="13" t="str">
        <x:v>order pending/paid/canceled/expired/failed/refunded；账本不可变</x:v>
      </x:c>
      <x:c r="P220" s="13" t="str">
        <x:v>套餐改价、重复点击、Checkout失败、Webhook重放/乱序/伪造、退款争议</x:v>
      </x:c>
      <x:c r="Q220" s="13" t="str">
        <x:v>用户只读本人订单/账本；仅验签Webhook入账；人工调点需授权</x:v>
      </x:c>
      <x:c r="R220" s="13" t="str">
        <x:v>下单键防重复；Event ID去重；订单行锁原子入账；订单/账本进入导出</x:v>
      </x:c>
    </x:row>
    <x:row r="221" ht="68" customHeight="1">
      <x:c r="A221" s="13" t="str">
        <x:v>第 3 期</x:v>
      </x:c>
      <x:c r="B221" s="13" t="str">
        <x:v>4. 点数与商业化</x:v>
      </x:c>
      <x:c r="C221" s="13" t="str">
        <x:v>BILL-001/003</x:v>
      </x:c>
      <x:c r="D221" s="13" t="str">
        <x:v>点数包与Checkout</x:v>
      </x:c>
      <x:c r="E221" s="13" t="str">
        <x:v>FE-CHECKOUT-04</x:v>
      </x:c>
      <x:c r="F221" s="13" t="str">
        <x:v>前端</x:v>
      </x:c>
      <x:c r="G221" s="13" t="str">
        <x:v>展示业务订单号</x:v>
      </x:c>
      <x:c r="H221" s="13" t="str">
        <x:v>Checkout创建后保存orderNumber</x:v>
      </x:c>
      <x:c r="I221" s="13" t="str">
        <x:v>不由前端生成或修改</x:v>
      </x:c>
      <x:c r="J221" s="13" t="str">
        <x:v>—</x:v>
      </x:c>
      <x:c r="K221" s="13" t="str">
        <x:v>待完成</x:v>
      </x:c>
      <x:c r="L221" s="13" t="str">
        <x:v>09-15～09-17</x:v>
      </x:c>
      <x:c r="M221" s="13" t="str">
        <x:v>—</x:v>
      </x:c>
      <x:c r="N221" s="13" t="str">
        <x:v>order UUID+后端业务订单号；ledger UUID；Stripe session/payment/event ID；价格版本</x:v>
      </x:c>
      <x:c r="O221" s="13" t="str">
        <x:v>order pending/paid/canceled/expired/failed/refunded；账本不可变</x:v>
      </x:c>
      <x:c r="P221" s="13" t="str">
        <x:v>套餐改价、重复点击、Checkout失败、Webhook重放/乱序/伪造、退款争议</x:v>
      </x:c>
      <x:c r="Q221" s="13" t="str">
        <x:v>用户只读本人订单/账本；仅验签Webhook入账；人工调点需授权</x:v>
      </x:c>
      <x:c r="R221" s="13" t="str">
        <x:v>下单键防重复；Event ID去重；订单行锁原子入账；订单/账本进入导出</x:v>
      </x:c>
    </x:row>
    <x:row r="222" ht="68" customHeight="1">
      <x:c r="A222" s="13" t="str">
        <x:v>第 3 期</x:v>
      </x:c>
      <x:c r="B222" s="13" t="str">
        <x:v>4. 点数与商业化</x:v>
      </x:c>
      <x:c r="C222" s="13" t="str">
        <x:v>BILL-001/003</x:v>
      </x:c>
      <x:c r="D222" s="13" t="str">
        <x:v>点数包与Checkout</x:v>
      </x:c>
      <x:c r="E222" s="13" t="str">
        <x:v>FE-CHECKOUT-05</x:v>
      </x:c>
      <x:c r="F222" s="13" t="str">
        <x:v>前端</x:v>
      </x:c>
      <x:c r="G222" s="13" t="str">
        <x:v>防止重复下单</x:v>
      </x:c>
      <x:c r="H222" s="13" t="str">
        <x:v>提交期间禁用购买按钮</x:v>
      </x:c>
      <x:c r="I222" s="13" t="str">
        <x:v>同一点击意图复用幂等键</x:v>
      </x:c>
      <x:c r="J222" s="13" t="str">
        <x:v>—</x:v>
      </x:c>
      <x:c r="K222" s="13" t="str">
        <x:v>待完成</x:v>
      </x:c>
      <x:c r="L222" s="13" t="str">
        <x:v>09-15～09-17</x:v>
      </x:c>
      <x:c r="M222" s="13" t="str">
        <x:v>—</x:v>
      </x:c>
      <x:c r="N222" s="13" t="str">
        <x:v>order UUID+后端业务订单号；ledger UUID；Stripe session/payment/event ID；价格版本</x:v>
      </x:c>
      <x:c r="O222" s="13" t="str">
        <x:v>order pending/paid/canceled/expired/failed/refunded；账本不可变</x:v>
      </x:c>
      <x:c r="P222" s="13" t="str">
        <x:v>套餐改价、重复点击、Checkout失败、Webhook重放/乱序/伪造、退款争议</x:v>
      </x:c>
      <x:c r="Q222" s="13" t="str">
        <x:v>用户只读本人订单/账本；仅验签Webhook入账；人工调点需授权</x:v>
      </x:c>
      <x:c r="R222" s="13" t="str">
        <x:v>下单键防重复；Event ID去重；订单行锁原子入账；订单/账本进入导出</x:v>
      </x:c>
    </x:row>
    <x:row r="223" ht="68" customHeight="1">
      <x:c r="A223" s="13" t="str">
        <x:v>第 3 期</x:v>
      </x:c>
      <x:c r="B223" s="13" t="str">
        <x:v>4. 点数与商业化</x:v>
      </x:c>
      <x:c r="C223" s="13" t="str">
        <x:v>BILL-001/003</x:v>
      </x:c>
      <x:c r="D223" s="13" t="str">
        <x:v>点数包与Checkout</x:v>
      </x:c>
      <x:c r="E223" s="13" t="str">
        <x:v>FE-CHECKOUT-06</x:v>
      </x:c>
      <x:c r="F223" s="13" t="str">
        <x:v>前端</x:v>
      </x:c>
      <x:c r="G223" s="13" t="str">
        <x:v>跳转Stripe Checkout</x:v>
      </x:c>
      <x:c r="H223" s="13" t="str">
        <x:v>使用服务端checkoutUrl</x:v>
      </x:c>
      <x:c r="I223" s="13" t="str">
        <x:v>不在前端拼Price ID或金额</x:v>
      </x:c>
      <x:c r="J223" s="13" t="str">
        <x:v>—</x:v>
      </x:c>
      <x:c r="K223" s="13" t="str">
        <x:v>待完成</x:v>
      </x:c>
      <x:c r="L223" s="13" t="str">
        <x:v>09-15～09-17</x:v>
      </x:c>
      <x:c r="M223" s="13" t="str">
        <x:v>—</x:v>
      </x:c>
      <x:c r="N223" s="13" t="str">
        <x:v>order UUID+后端业务订单号；ledger UUID；Stripe session/payment/event ID；价格版本</x:v>
      </x:c>
      <x:c r="O223" s="13" t="str">
        <x:v>order pending/paid/canceled/expired/failed/refunded；账本不可变</x:v>
      </x:c>
      <x:c r="P223" s="13" t="str">
        <x:v>套餐改价、重复点击、Checkout失败、Webhook重放/乱序/伪造、退款争议</x:v>
      </x:c>
      <x:c r="Q223" s="13" t="str">
        <x:v>用户只读本人订单/账本；仅验签Webhook入账；人工调点需授权</x:v>
      </x:c>
      <x:c r="R223" s="13" t="str">
        <x:v>下单键防重复；Event ID去重；订单行锁原子入账；订单/账本进入导出</x:v>
      </x:c>
    </x:row>
    <x:row r="224" ht="68" customHeight="1">
      <x:c r="A224" s="13" t="str">
        <x:v>第 3 期</x:v>
      </x:c>
      <x:c r="B224" s="13" t="str">
        <x:v>4. 点数与商业化</x:v>
      </x:c>
      <x:c r="C224" s="13" t="str">
        <x:v>BILL-001/003</x:v>
      </x:c>
      <x:c r="D224" s="13" t="str">
        <x:v>点数包与Checkout</x:v>
      </x:c>
      <x:c r="E224" s="13" t="str">
        <x:v>FE-CHECKOUT-07</x:v>
      </x:c>
      <x:c r="F224" s="13" t="str">
        <x:v>前端</x:v>
      </x:c>
      <x:c r="G224" s="13" t="str">
        <x:v>接入价格与购买流程服务端接口</x:v>
      </x:c>
      <x:c r="H224" s="13" t="str">
        <x:v>packages+checkout客户端适配器</x:v>
      </x:c>
      <x:c r="I224" s="13" t="str">
        <x:v>请求字段与共享Schema一致；不在组件内拼装不受控请求</x:v>
      </x:c>
      <x:c r="J224" s="13" t="str">
        <x:v>FE-CHECKOUT-02</x:v>
      </x:c>
      <x:c r="K224" s="13" t="str">
        <x:v>待完成</x:v>
      </x:c>
      <x:c r="L224" s="13" t="str">
        <x:v>09-15～09-17</x:v>
      </x:c>
      <x:c r="M224" s="13" t="str">
        <x:v>—</x:v>
      </x:c>
      <x:c r="N224" s="13" t="str">
        <x:v>order UUID+后端业务订单号；ledger UUID；Stripe session/payment/event ID；价格版本</x:v>
      </x:c>
      <x:c r="O224" s="13" t="str">
        <x:v>order pending/paid/canceled/expired/failed/refunded；账本不可变</x:v>
      </x:c>
      <x:c r="P224" s="13" t="str">
        <x:v>套餐改价、重复点击、Checkout失败、Webhook重放/乱序/伪造、退款争议</x:v>
      </x:c>
      <x:c r="Q224" s="13" t="str">
        <x:v>用户只读本人订单/账本；仅验签Webhook入账；人工调点需授权</x:v>
      </x:c>
      <x:c r="R224" s="13" t="str">
        <x:v>下单键防重复；Event ID去重；订单行锁原子入账；订单/账本进入导出</x:v>
      </x:c>
    </x:row>
    <x:row r="225" ht="68" customHeight="1">
      <x:c r="A225" s="13" t="str">
        <x:v>第 3 期</x:v>
      </x:c>
      <x:c r="B225" s="13" t="str">
        <x:v>4. 点数与商业化</x:v>
      </x:c>
      <x:c r="C225" s="13" t="str">
        <x:v>BILL-001/003</x:v>
      </x:c>
      <x:c r="D225" s="13" t="str">
        <x:v>点数包与Checkout</x:v>
      </x:c>
      <x:c r="E225" s="13" t="str">
        <x:v>FE-CHECKOUT-08</x:v>
      </x:c>
      <x:c r="F225" s="13" t="str">
        <x:v>前端</x:v>
      </x:c>
      <x:c r="G225" s="13" t="str">
        <x:v>实现价格与购买流程加载状态</x:v>
      </x:c>
      <x:c r="H225" s="13" t="str">
        <x:v>骨架屏或进度反馈</x:v>
      </x:c>
      <x:c r="I225" s="13" t="str">
        <x:v>请求期间有可感知反馈；重复操作被禁用</x:v>
      </x:c>
      <x:c r="J225" s="13" t="str">
        <x:v>FE-CHECKOUT-02</x:v>
      </x:c>
      <x:c r="K225" s="13" t="str">
        <x:v>待完成</x:v>
      </x:c>
      <x:c r="L225" s="13" t="str">
        <x:v>09-15～09-17</x:v>
      </x:c>
      <x:c r="M225" s="13" t="str">
        <x:v>—</x:v>
      </x:c>
      <x:c r="N225" s="13" t="str">
        <x:v>order UUID+后端业务订单号；ledger UUID；Stripe session/payment/event ID；价格版本</x:v>
      </x:c>
      <x:c r="O225" s="13" t="str">
        <x:v>order pending/paid/canceled/expired/failed/refunded；账本不可变</x:v>
      </x:c>
      <x:c r="P225" s="13" t="str">
        <x:v>套餐改价、重复点击、Checkout失败、Webhook重放/乱序/伪造、退款争议</x:v>
      </x:c>
      <x:c r="Q225" s="13" t="str">
        <x:v>用户只读本人订单/账本；仅验签Webhook入账；人工调点需授权</x:v>
      </x:c>
      <x:c r="R225" s="13" t="str">
        <x:v>下单键防重复；Event ID去重；订单行锁原子入账；订单/账本进入导出</x:v>
      </x:c>
    </x:row>
    <x:row r="226" ht="68" customHeight="1">
      <x:c r="A226" s="13" t="str">
        <x:v>第 3 期</x:v>
      </x:c>
      <x:c r="B226" s="13" t="str">
        <x:v>4. 点数与商业化</x:v>
      </x:c>
      <x:c r="C226" s="13" t="str">
        <x:v>BILL-001/003</x:v>
      </x:c>
      <x:c r="D226" s="13" t="str">
        <x:v>点数包与Checkout</x:v>
      </x:c>
      <x:c r="E226" s="13" t="str">
        <x:v>FE-CHECKOUT-09</x:v>
      </x:c>
      <x:c r="F226" s="13" t="str">
        <x:v>前端</x:v>
      </x:c>
      <x:c r="G226" s="13" t="str">
        <x:v>实现价格与购买流程错误映射</x:v>
      </x:c>
      <x:c r="H226" s="13" t="str">
        <x:v>稳定错误码到双语用户文案的映射</x:v>
      </x:c>
      <x:c r="I226" s="13" t="str">
        <x:v>业务错误可恢复；未知错误不泄露内部信息</x:v>
      </x:c>
      <x:c r="J226" s="13" t="str">
        <x:v>FE-CHECKOUT-02</x:v>
      </x:c>
      <x:c r="K226" s="13" t="str">
        <x:v>待完成</x:v>
      </x:c>
      <x:c r="L226" s="13" t="str">
        <x:v>09-15～09-17</x:v>
      </x:c>
      <x:c r="M226" s="13" t="str">
        <x:v>—</x:v>
      </x:c>
      <x:c r="N226" s="13" t="str">
        <x:v>order UUID+后端业务订单号；ledger UUID；Stripe session/payment/event ID；价格版本</x:v>
      </x:c>
      <x:c r="O226" s="13" t="str">
        <x:v>order pending/paid/canceled/expired/failed/refunded；账本不可变</x:v>
      </x:c>
      <x:c r="P226" s="13" t="str">
        <x:v>套餐改价、重复点击、Checkout失败、Webhook重放/乱序/伪造、退款争议</x:v>
      </x:c>
      <x:c r="Q226" s="13" t="str">
        <x:v>用户只读本人订单/账本；仅验签Webhook入账；人工调点需授权</x:v>
      </x:c>
      <x:c r="R226" s="13" t="str">
        <x:v>下单键防重复；Event ID去重；订单行锁原子入账；订单/账本进入导出</x:v>
      </x:c>
    </x:row>
    <x:row r="227" ht="68" customHeight="1">
      <x:c r="A227" s="13" t="str">
        <x:v>第 3 期</x:v>
      </x:c>
      <x:c r="B227" s="13" t="str">
        <x:v>4. 点数与商业化</x:v>
      </x:c>
      <x:c r="C227" s="13" t="str">
        <x:v>BILL-001/003</x:v>
      </x:c>
      <x:c r="D227" s="13" t="str">
        <x:v>点数包与Checkout</x:v>
      </x:c>
      <x:c r="E227" s="13" t="str">
        <x:v>FE-CHECKOUT-10</x:v>
      </x:c>
      <x:c r="F227" s="13" t="str">
        <x:v>前端</x:v>
      </x:c>
      <x:c r="G227" s="13" t="str">
        <x:v>完成价格与购买流程中英文文案</x:v>
      </x:c>
      <x:c r="H227" s="13" t="str">
        <x:v>en/zh词条</x:v>
      </x:c>
      <x:c r="I227" s="13" t="str">
        <x:v>切换语言后字段含义、按钮和错误保持一致</x:v>
      </x:c>
      <x:c r="J227" s="13" t="str">
        <x:v>—</x:v>
      </x:c>
      <x:c r="K227" s="13" t="str">
        <x:v>待完成</x:v>
      </x:c>
      <x:c r="L227" s="13" t="str">
        <x:v>09-15～09-17</x:v>
      </x:c>
      <x:c r="M227" s="13" t="str">
        <x:v>—</x:v>
      </x:c>
      <x:c r="N227" s="13" t="str">
        <x:v>order UUID+后端业务订单号；ledger UUID；Stripe session/payment/event ID；价格版本</x:v>
      </x:c>
      <x:c r="O227" s="13" t="str">
        <x:v>order pending/paid/canceled/expired/failed/refunded；账本不可变</x:v>
      </x:c>
      <x:c r="P227" s="13" t="str">
        <x:v>套餐改价、重复点击、Checkout失败、Webhook重放/乱序/伪造、退款争议</x:v>
      </x:c>
      <x:c r="Q227" s="13" t="str">
        <x:v>用户只读本人订单/账本；仅验签Webhook入账；人工调点需授权</x:v>
      </x:c>
      <x:c r="R227" s="13" t="str">
        <x:v>下单键防重复；Event ID去重；订单行锁原子入账；订单/账本进入导出</x:v>
      </x:c>
    </x:row>
    <x:row r="228" ht="68" customHeight="1">
      <x:c r="A228" s="13" t="str">
        <x:v>第 3 期</x:v>
      </x:c>
      <x:c r="B228" s="13" t="str">
        <x:v>4. 点数与商业化</x:v>
      </x:c>
      <x:c r="C228" s="13" t="str">
        <x:v>BILL-001/003</x:v>
      </x:c>
      <x:c r="D228" s="13" t="str">
        <x:v>点数包与Checkout</x:v>
      </x:c>
      <x:c r="E228" s="13" t="str">
        <x:v>FE-CHECKOUT-11</x:v>
      </x:c>
      <x:c r="F228" s="13" t="str">
        <x:v>前端</x:v>
      </x:c>
      <x:c r="G228" s="13" t="str">
        <x:v>完成价格与购买流程键盘与屏幕阅读器支持</x:v>
      </x:c>
      <x:c r="H228" s="13" t="str">
        <x:v>语义标签、焦点顺序、aria-live</x:v>
      </x:c>
      <x:c r="I228" s="13" t="str">
        <x:v>仅键盘可完成主流程；错误与状态可被读出</x:v>
      </x:c>
      <x:c r="J228" s="13" t="str">
        <x:v>—</x:v>
      </x:c>
      <x:c r="K228" s="13" t="str">
        <x:v>待完成</x:v>
      </x:c>
      <x:c r="L228" s="13" t="str">
        <x:v>09-15～09-17</x:v>
      </x:c>
      <x:c r="M228" s="13" t="str">
        <x:v>—</x:v>
      </x:c>
      <x:c r="N228" s="13" t="str">
        <x:v>order UUID+后端业务订单号；ledger UUID；Stripe session/payment/event ID；价格版本</x:v>
      </x:c>
      <x:c r="O228" s="13" t="str">
        <x:v>order pending/paid/canceled/expired/failed/refunded；账本不可变</x:v>
      </x:c>
      <x:c r="P228" s="13" t="str">
        <x:v>套餐改价、重复点击、Checkout失败、Webhook重放/乱序/伪造、退款争议</x:v>
      </x:c>
      <x:c r="Q228" s="13" t="str">
        <x:v>用户只读本人订单/账本；仅验签Webhook入账；人工调点需授权</x:v>
      </x:c>
      <x:c r="R228" s="13" t="str">
        <x:v>下单键防重复；Event ID去重；订单行锁原子入账；订单/账本进入导出</x:v>
      </x:c>
    </x:row>
    <x:row r="229" ht="68" customHeight="1">
      <x:c r="A229" s="13" t="str">
        <x:v>第 3 期</x:v>
      </x:c>
      <x:c r="B229" s="13" t="str">
        <x:v>4. 点数与商业化</x:v>
      </x:c>
      <x:c r="C229" s="13" t="str">
        <x:v>BILL-001/003</x:v>
      </x:c>
      <x:c r="D229" s="13" t="str">
        <x:v>点数包与Checkout</x:v>
      </x:c>
      <x:c r="E229" s="13" t="str">
        <x:v>FE-CHECKOUT-12</x:v>
      </x:c>
      <x:c r="F229" s="13" t="str">
        <x:v>前端</x:v>
      </x:c>
      <x:c r="G229" s="13" t="str">
        <x:v>编写价格与购买流程组件测试</x:v>
      </x:c>
      <x:c r="H229" s="13" t="str">
        <x:v>组件与交互测试</x:v>
      </x:c>
      <x:c r="I229" s="13" t="str">
        <x:v>覆盖成功、校验失败、服务端失败和重复点击</x:v>
      </x:c>
      <x:c r="J229" s="13" t="str">
        <x:v>—</x:v>
      </x:c>
      <x:c r="K229" s="13" t="str">
        <x:v>待完成</x:v>
      </x:c>
      <x:c r="L229" s="13" t="str">
        <x:v>09-15～09-17</x:v>
      </x:c>
      <x:c r="M229" s="13" t="str">
        <x:v>—</x:v>
      </x:c>
      <x:c r="N229" s="13" t="str">
        <x:v>order UUID+后端业务订单号；ledger UUID；Stripe session/payment/event ID；价格版本</x:v>
      </x:c>
      <x:c r="O229" s="13" t="str">
        <x:v>order pending/paid/canceled/expired/failed/refunded；账本不可变</x:v>
      </x:c>
      <x:c r="P229" s="13" t="str">
        <x:v>套餐改价、重复点击、Checkout失败、Webhook重放/乱序/伪造、退款争议</x:v>
      </x:c>
      <x:c r="Q229" s="13" t="str">
        <x:v>用户只读本人订单/账本；仅验签Webhook入账；人工调点需授权</x:v>
      </x:c>
      <x:c r="R229" s="13" t="str">
        <x:v>下单键防重复；Event ID去重；订单行锁原子入账；订单/账本进入导出</x:v>
      </x:c>
    </x:row>
    <x:row r="230" ht="68" customHeight="1">
      <x:c r="A230" s="13" t="str">
        <x:v>第 3 期</x:v>
      </x:c>
      <x:c r="B230" s="13" t="str">
        <x:v>4. 点数与商业化</x:v>
      </x:c>
      <x:c r="C230" s="13" t="str">
        <x:v>BILL-004/005</x:v>
      </x:c>
      <x:c r="D230" s="13" t="str">
        <x:v>支付结果与点数账本</x:v>
      </x:c>
      <x:c r="E230" s="13" t="str">
        <x:v>FE-BILLING-01</x:v>
      </x:c>
      <x:c r="F230" s="13" t="str">
        <x:v>前端</x:v>
      </x:c>
      <x:c r="G230" s="13" t="str">
        <x:v>建立支付结果和点数账本页路由与页面边界</x:v>
      </x:c>
      <x:c r="H230" s="13" t="str">
        <x:v>支付结果和点数账本页路由、页面组件和Metadata</x:v>
      </x:c>
      <x:c r="I230" s="13" t="str">
        <x:v>直接访问路由可渲染；未授权跳转符合PRD；无运行时错误</x:v>
      </x:c>
      <x:c r="J230" s="13" t="str">
        <x:v>—</x:v>
      </x:c>
      <x:c r="K230" s="13" t="str">
        <x:v>待完成</x:v>
      </x:c>
      <x:c r="L230" s="13" t="str">
        <x:v>09-17～09-18</x:v>
      </x:c>
      <x:c r="M230" s="13" t="str">
        <x:v>—</x:v>
      </x:c>
      <x:c r="N230" s="13" t="str">
        <x:v>order UUID+后端业务订单号；ledger UUID；Stripe session/payment/event ID；价格版本</x:v>
      </x:c>
      <x:c r="O230" s="13" t="str">
        <x:v>order pending/paid/canceled/expired/failed/refunded；账本不可变</x:v>
      </x:c>
      <x:c r="P230" s="13" t="str">
        <x:v>套餐改价、重复点击、Checkout失败、Webhook重放/乱序/伪造、退款争议</x:v>
      </x:c>
      <x:c r="Q230" s="13" t="str">
        <x:v>用户只读本人订单/账本；仅验签Webhook入账；人工调点需授权</x:v>
      </x:c>
      <x:c r="R230" s="13" t="str">
        <x:v>下单键防重复；Event ID去重；订单行锁原子入账；订单/账本进入导出</x:v>
      </x:c>
    </x:row>
    <x:row r="231" ht="68" customHeight="1">
      <x:c r="A231" s="13" t="str">
        <x:v>第 3 期</x:v>
      </x:c>
      <x:c r="B231" s="13" t="str">
        <x:v>4. 点数与商业化</x:v>
      </x:c>
      <x:c r="C231" s="13" t="str">
        <x:v>BILL-004/005</x:v>
      </x:c>
      <x:c r="D231" s="13" t="str">
        <x:v>支付结果与点数账本</x:v>
      </x:c>
      <x:c r="E231" s="13" t="str">
        <x:v>FE-BILLING-02</x:v>
      </x:c>
      <x:c r="F231" s="13" t="str">
        <x:v>前端</x:v>
      </x:c>
      <x:c r="G231" s="13" t="str">
        <x:v>定义支付结果和点数账本页页面状态模型</x:v>
      </x:c>
      <x:c r="H231" s="13" t="str">
        <x:v>页面状态类型与初始化逻辑</x:v>
      </x:c>
      <x:c r="I231" s="13" t="str">
        <x:v>每个状态只有一个含义；刷新后可恢复服务端状态</x:v>
      </x:c>
      <x:c r="J231" s="13" t="str">
        <x:v>FE-BILLING-01</x:v>
      </x:c>
      <x:c r="K231" s="13" t="str">
        <x:v>待完成</x:v>
      </x:c>
      <x:c r="L231" s="13" t="str">
        <x:v>09-17～09-18</x:v>
      </x:c>
      <x:c r="M231" s="13" t="str">
        <x:v>—</x:v>
      </x:c>
      <x:c r="N231" s="13" t="str">
        <x:v>order UUID+后端业务订单号；ledger UUID；Stripe session/payment/event ID；价格版本</x:v>
      </x:c>
      <x:c r="O231" s="13" t="str">
        <x:v>order pending/paid/canceled/expired/failed/refunded；账本不可变</x:v>
      </x:c>
      <x:c r="P231" s="13" t="str">
        <x:v>套餐改价、重复点击、Checkout失败、Webhook重放/乱序/伪造、退款争议</x:v>
      </x:c>
      <x:c r="Q231" s="13" t="str">
        <x:v>用户只读本人订单/账本；仅验签Webhook入账；人工调点需授权</x:v>
      </x:c>
      <x:c r="R231" s="13" t="str">
        <x:v>下单键防重复；Event ID去重；订单行锁原子入账；订单/账本进入导出</x:v>
      </x:c>
    </x:row>
    <x:row r="232" ht="68" customHeight="1">
      <x:c r="A232" s="13" t="str">
        <x:v>第 3 期</x:v>
      </x:c>
      <x:c r="B232" s="13" t="str">
        <x:v>4. 点数与商业化</x:v>
      </x:c>
      <x:c r="C232" s="13" t="str">
        <x:v>BILL-004/005</x:v>
      </x:c>
      <x:c r="D232" s="13" t="str">
        <x:v>支付结果与点数账本</x:v>
      </x:c>
      <x:c r="E232" s="13" t="str">
        <x:v>FE-BILLING-03</x:v>
      </x:c>
      <x:c r="F232" s="13" t="str">
        <x:v>前端</x:v>
      </x:c>
      <x:c r="G232" s="13" t="str">
        <x:v>按业务订单号查询</x:v>
      </x:c>
      <x:c r="H232" s="13" t="str">
        <x:v>orderNumber路由参数</x:v>
      </x:c>
      <x:c r="I232" s="13" t="str">
        <x:v>不能用Session ID越权查询</x:v>
      </x:c>
      <x:c r="J232" s="13" t="str">
        <x:v>—</x:v>
      </x:c>
      <x:c r="K232" s="13" t="str">
        <x:v>待完成</x:v>
      </x:c>
      <x:c r="L232" s="13" t="str">
        <x:v>09-17～09-18</x:v>
      </x:c>
      <x:c r="M232" s="13" t="str">
        <x:v>—</x:v>
      </x:c>
      <x:c r="N232" s="13" t="str">
        <x:v>order UUID+后端业务订单号；ledger UUID；Stripe session/payment/event ID；价格版本</x:v>
      </x:c>
      <x:c r="O232" s="13" t="str">
        <x:v>order pending/paid/canceled/expired/failed/refunded；账本不可变</x:v>
      </x:c>
      <x:c r="P232" s="13" t="str">
        <x:v>套餐改价、重复点击、Checkout失败、Webhook重放/乱序/伪造、退款争议</x:v>
      </x:c>
      <x:c r="Q232" s="13" t="str">
        <x:v>用户只读本人订单/账本；仅验签Webhook入账；人工调点需授权</x:v>
      </x:c>
      <x:c r="R232" s="13" t="str">
        <x:v>下单键防重复；Event ID去重；订单行锁原子入账；订单/账本进入导出</x:v>
      </x:c>
    </x:row>
    <x:row r="233" ht="68" customHeight="1">
      <x:c r="A233" s="13" t="str">
        <x:v>第 3 期</x:v>
      </x:c>
      <x:c r="B233" s="13" t="str">
        <x:v>4. 点数与商业化</x:v>
      </x:c>
      <x:c r="C233" s="13" t="str">
        <x:v>BILL-004/005</x:v>
      </x:c>
      <x:c r="D233" s="13" t="str">
        <x:v>支付结果与点数账本</x:v>
      </x:c>
      <x:c r="E233" s="13" t="str">
        <x:v>FE-BILLING-04</x:v>
      </x:c>
      <x:c r="F233" s="13" t="str">
        <x:v>前端</x:v>
      </x:c>
      <x:c r="G233" s="13" t="str">
        <x:v>显示订单状态</x:v>
      </x:c>
      <x:c r="H233" s="13" t="str">
        <x:v>pending/paid/canceled/expired/failed/refunded</x:v>
      </x:c>
      <x:c r="I233" s="13" t="str">
        <x:v>每个状态有明确下一步</x:v>
      </x:c>
      <x:c r="J233" s="13" t="str">
        <x:v>—</x:v>
      </x:c>
      <x:c r="K233" s="13" t="str">
        <x:v>待完成</x:v>
      </x:c>
      <x:c r="L233" s="13" t="str">
        <x:v>09-17～09-18</x:v>
      </x:c>
      <x:c r="M233" s="13" t="str">
        <x:v>—</x:v>
      </x:c>
      <x:c r="N233" s="13" t="str">
        <x:v>order UUID+后端业务订单号；ledger UUID；Stripe session/payment/event ID；价格版本</x:v>
      </x:c>
      <x:c r="O233" s="13" t="str">
        <x:v>order pending/paid/canceled/expired/failed/refunded；账本不可变</x:v>
      </x:c>
      <x:c r="P233" s="13" t="str">
        <x:v>套餐改价、重复点击、Checkout失败、Webhook重放/乱序/伪造、退款争议</x:v>
      </x:c>
      <x:c r="Q233" s="13" t="str">
        <x:v>用户只读本人订单/账本；仅验签Webhook入账；人工调点需授权</x:v>
      </x:c>
      <x:c r="R233" s="13" t="str">
        <x:v>下单键防重复；Event ID去重；订单行锁原子入账；订单/账本进入导出</x:v>
      </x:c>
    </x:row>
    <x:row r="234" ht="68" customHeight="1">
      <x:c r="A234" s="13" t="str">
        <x:v>第 3 期</x:v>
      </x:c>
      <x:c r="B234" s="13" t="str">
        <x:v>4. 点数与商业化</x:v>
      </x:c>
      <x:c r="C234" s="13" t="str">
        <x:v>BILL-004/005</x:v>
      </x:c>
      <x:c r="D234" s="13" t="str">
        <x:v>支付结果与点数账本</x:v>
      </x:c>
      <x:c r="E234" s="13" t="str">
        <x:v>FE-BILLING-05</x:v>
      </x:c>
      <x:c r="F234" s="13" t="str">
        <x:v>前端</x:v>
      </x:c>
      <x:c r="G234" s="13" t="str">
        <x:v>paid后刷新余额</x:v>
      </x:c>
      <x:c r="H234" s="13" t="str">
        <x:v>重新读取账户余额</x:v>
      </x:c>
      <x:c r="I234" s="13" t="str">
        <x:v>不由前端自行加点</x:v>
      </x:c>
      <x:c r="J234" s="13" t="str">
        <x:v>—</x:v>
      </x:c>
      <x:c r="K234" s="13" t="str">
        <x:v>待完成</x:v>
      </x:c>
      <x:c r="L234" s="13" t="str">
        <x:v>09-17～09-18</x:v>
      </x:c>
      <x:c r="M234" s="13" t="str">
        <x:v>—</x:v>
      </x:c>
      <x:c r="N234" s="13" t="str">
        <x:v>order UUID+后端业务订单号；ledger UUID；Stripe session/payment/event ID；价格版本</x:v>
      </x:c>
      <x:c r="O234" s="13" t="str">
        <x:v>order pending/paid/canceled/expired/failed/refunded；账本不可变</x:v>
      </x:c>
      <x:c r="P234" s="13" t="str">
        <x:v>套餐改价、重复点击、Checkout失败、Webhook重放/乱序/伪造、退款争议</x:v>
      </x:c>
      <x:c r="Q234" s="13" t="str">
        <x:v>用户只读本人订单/账本；仅验签Webhook入账；人工调点需授权</x:v>
      </x:c>
      <x:c r="R234" s="13" t="str">
        <x:v>下单键防重复；Event ID去重；订单行锁原子入账；订单/账本进入导出</x:v>
      </x:c>
    </x:row>
    <x:row r="235" ht="68" customHeight="1">
      <x:c r="A235" s="13" t="str">
        <x:v>第 3 期</x:v>
      </x:c>
      <x:c r="B235" s="13" t="str">
        <x:v>4. 点数与商业化</x:v>
      </x:c>
      <x:c r="C235" s="13" t="str">
        <x:v>BILL-004/005</x:v>
      </x:c>
      <x:c r="D235" s="13" t="str">
        <x:v>支付结果与点数账本</x:v>
      </x:c>
      <x:c r="E235" s="13" t="str">
        <x:v>FE-BILLING-06</x:v>
      </x:c>
      <x:c r="F235" s="13" t="str">
        <x:v>前端</x:v>
      </x:c>
      <x:c r="G235" s="13" t="str">
        <x:v>分页展示点数账本</x:v>
      </x:c>
      <x:c r="H235" s="13" t="str">
        <x:v>类型、变化、余额、关联对象、时间</x:v>
      </x:c>
      <x:c r="I235" s="13" t="str">
        <x:v>顺序稳定且只读</x:v>
      </x:c>
      <x:c r="J235" s="13" t="str">
        <x:v>—</x:v>
      </x:c>
      <x:c r="K235" s="13" t="str">
        <x:v>待完成</x:v>
      </x:c>
      <x:c r="L235" s="13" t="str">
        <x:v>09-17～09-18</x:v>
      </x:c>
      <x:c r="M235" s="13" t="str">
        <x:v>—</x:v>
      </x:c>
      <x:c r="N235" s="13" t="str">
        <x:v>order UUID+后端业务订单号；ledger UUID；Stripe session/payment/event ID；价格版本</x:v>
      </x:c>
      <x:c r="O235" s="13" t="str">
        <x:v>order pending/paid/canceled/expired/failed/refunded；账本不可变</x:v>
      </x:c>
      <x:c r="P235" s="13" t="str">
        <x:v>套餐改价、重复点击、Checkout失败、Webhook重放/乱序/伪造、退款争议</x:v>
      </x:c>
      <x:c r="Q235" s="13" t="str">
        <x:v>用户只读本人订单/账本；仅验签Webhook入账；人工调点需授权</x:v>
      </x:c>
      <x:c r="R235" s="13" t="str">
        <x:v>下单键防重复；Event ID去重；订单行锁原子入账；订单/账本进入导出</x:v>
      </x:c>
    </x:row>
    <x:row r="236" ht="68" customHeight="1">
      <x:c r="A236" s="13" t="str">
        <x:v>第 3 期</x:v>
      </x:c>
      <x:c r="B236" s="13" t="str">
        <x:v>4. 点数与商业化</x:v>
      </x:c>
      <x:c r="C236" s="13" t="str">
        <x:v>BILL-004/005</x:v>
      </x:c>
      <x:c r="D236" s="13" t="str">
        <x:v>支付结果与点数账本</x:v>
      </x:c>
      <x:c r="E236" s="13" t="str">
        <x:v>FE-BILLING-07</x:v>
      </x:c>
      <x:c r="F236" s="13" t="str">
        <x:v>前端</x:v>
      </x:c>
      <x:c r="G236" s="13" t="str">
        <x:v>接入支付结果和点数账本页服务端接口</x:v>
      </x:c>
      <x:c r="H236" s="13" t="str">
        <x:v>orders/{orderNumber}+credits客户端适配器</x:v>
      </x:c>
      <x:c r="I236" s="13" t="str">
        <x:v>请求字段与共享Schema一致；不在组件内拼装不受控请求</x:v>
      </x:c>
      <x:c r="J236" s="13" t="str">
        <x:v>FE-BILLING-02</x:v>
      </x:c>
      <x:c r="K236" s="13" t="str">
        <x:v>待完成</x:v>
      </x:c>
      <x:c r="L236" s="13" t="str">
        <x:v>09-17～09-18</x:v>
      </x:c>
      <x:c r="M236" s="13" t="str">
        <x:v>—</x:v>
      </x:c>
      <x:c r="N236" s="13" t="str">
        <x:v>order UUID+后端业务订单号；ledger UUID；Stripe session/payment/event ID；价格版本</x:v>
      </x:c>
      <x:c r="O236" s="13" t="str">
        <x:v>order pending/paid/canceled/expired/failed/refunded；账本不可变</x:v>
      </x:c>
      <x:c r="P236" s="13" t="str">
        <x:v>套餐改价、重复点击、Checkout失败、Webhook重放/乱序/伪造、退款争议</x:v>
      </x:c>
      <x:c r="Q236" s="13" t="str">
        <x:v>用户只读本人订单/账本；仅验签Webhook入账；人工调点需授权</x:v>
      </x:c>
      <x:c r="R236" s="13" t="str">
        <x:v>下单键防重复；Event ID去重；订单行锁原子入账；订单/账本进入导出</x:v>
      </x:c>
    </x:row>
    <x:row r="237" ht="68" customHeight="1">
      <x:c r="A237" s="13" t="str">
        <x:v>第 3 期</x:v>
      </x:c>
      <x:c r="B237" s="13" t="str">
        <x:v>4. 点数与商业化</x:v>
      </x:c>
      <x:c r="C237" s="13" t="str">
        <x:v>BILL-004/005</x:v>
      </x:c>
      <x:c r="D237" s="13" t="str">
        <x:v>支付结果与点数账本</x:v>
      </x:c>
      <x:c r="E237" s="13" t="str">
        <x:v>FE-BILLING-08</x:v>
      </x:c>
      <x:c r="F237" s="13" t="str">
        <x:v>前端</x:v>
      </x:c>
      <x:c r="G237" s="13" t="str">
        <x:v>实现支付结果和点数账本页加载状态</x:v>
      </x:c>
      <x:c r="H237" s="13" t="str">
        <x:v>骨架屏或进度反馈</x:v>
      </x:c>
      <x:c r="I237" s="13" t="str">
        <x:v>请求期间有可感知反馈；重复操作被禁用</x:v>
      </x:c>
      <x:c r="J237" s="13" t="str">
        <x:v>FE-BILLING-02</x:v>
      </x:c>
      <x:c r="K237" s="13" t="str">
        <x:v>待完成</x:v>
      </x:c>
      <x:c r="L237" s="13" t="str">
        <x:v>09-17～09-18</x:v>
      </x:c>
      <x:c r="M237" s="13" t="str">
        <x:v>—</x:v>
      </x:c>
      <x:c r="N237" s="13" t="str">
        <x:v>order UUID+后端业务订单号；ledger UUID；Stripe session/payment/event ID；价格版本</x:v>
      </x:c>
      <x:c r="O237" s="13" t="str">
        <x:v>order pending/paid/canceled/expired/failed/refunded；账本不可变</x:v>
      </x:c>
      <x:c r="P237" s="13" t="str">
        <x:v>套餐改价、重复点击、Checkout失败、Webhook重放/乱序/伪造、退款争议</x:v>
      </x:c>
      <x:c r="Q237" s="13" t="str">
        <x:v>用户只读本人订单/账本；仅验签Webhook入账；人工调点需授权</x:v>
      </x:c>
      <x:c r="R237" s="13" t="str">
        <x:v>下单键防重复；Event ID去重；订单行锁原子入账；订单/账本进入导出</x:v>
      </x:c>
    </x:row>
    <x:row r="238" ht="68" customHeight="1">
      <x:c r="A238" s="13" t="str">
        <x:v>第 3 期</x:v>
      </x:c>
      <x:c r="B238" s="13" t="str">
        <x:v>4. 点数与商业化</x:v>
      </x:c>
      <x:c r="C238" s="13" t="str">
        <x:v>BILL-004/005</x:v>
      </x:c>
      <x:c r="D238" s="13" t="str">
        <x:v>支付结果与点数账本</x:v>
      </x:c>
      <x:c r="E238" s="13" t="str">
        <x:v>FE-BILLING-09</x:v>
      </x:c>
      <x:c r="F238" s="13" t="str">
        <x:v>前端</x:v>
      </x:c>
      <x:c r="G238" s="13" t="str">
        <x:v>实现支付结果和点数账本页错误映射</x:v>
      </x:c>
      <x:c r="H238" s="13" t="str">
        <x:v>稳定错误码到双语用户文案的映射</x:v>
      </x:c>
      <x:c r="I238" s="13" t="str">
        <x:v>业务错误可恢复；未知错误不泄露内部信息</x:v>
      </x:c>
      <x:c r="J238" s="13" t="str">
        <x:v>FE-BILLING-02</x:v>
      </x:c>
      <x:c r="K238" s="13" t="str">
        <x:v>待完成</x:v>
      </x:c>
      <x:c r="L238" s="13" t="str">
        <x:v>09-17～09-18</x:v>
      </x:c>
      <x:c r="M238" s="13" t="str">
        <x:v>—</x:v>
      </x:c>
      <x:c r="N238" s="13" t="str">
        <x:v>order UUID+后端业务订单号；ledger UUID；Stripe session/payment/event ID；价格版本</x:v>
      </x:c>
      <x:c r="O238" s="13" t="str">
        <x:v>order pending/paid/canceled/expired/failed/refunded；账本不可变</x:v>
      </x:c>
      <x:c r="P238" s="13" t="str">
        <x:v>套餐改价、重复点击、Checkout失败、Webhook重放/乱序/伪造、退款争议</x:v>
      </x:c>
      <x:c r="Q238" s="13" t="str">
        <x:v>用户只读本人订单/账本；仅验签Webhook入账；人工调点需授权</x:v>
      </x:c>
      <x:c r="R238" s="13" t="str">
        <x:v>下单键防重复；Event ID去重；订单行锁原子入账；订单/账本进入导出</x:v>
      </x:c>
    </x:row>
    <x:row r="239" ht="68" customHeight="1">
      <x:c r="A239" s="13" t="str">
        <x:v>第 3 期</x:v>
      </x:c>
      <x:c r="B239" s="13" t="str">
        <x:v>4. 点数与商业化</x:v>
      </x:c>
      <x:c r="C239" s="13" t="str">
        <x:v>BILL-004/005</x:v>
      </x:c>
      <x:c r="D239" s="13" t="str">
        <x:v>支付结果与点数账本</x:v>
      </x:c>
      <x:c r="E239" s="13" t="str">
        <x:v>FE-BILLING-10</x:v>
      </x:c>
      <x:c r="F239" s="13" t="str">
        <x:v>前端</x:v>
      </x:c>
      <x:c r="G239" s="13" t="str">
        <x:v>完成支付结果和点数账本页中英文文案</x:v>
      </x:c>
      <x:c r="H239" s="13" t="str">
        <x:v>en/zh词条</x:v>
      </x:c>
      <x:c r="I239" s="13" t="str">
        <x:v>切换语言后字段含义、按钮和错误保持一致</x:v>
      </x:c>
      <x:c r="J239" s="13" t="str">
        <x:v>—</x:v>
      </x:c>
      <x:c r="K239" s="13" t="str">
        <x:v>待完成</x:v>
      </x:c>
      <x:c r="L239" s="13" t="str">
        <x:v>09-17～09-18</x:v>
      </x:c>
      <x:c r="M239" s="13" t="str">
        <x:v>—</x:v>
      </x:c>
      <x:c r="N239" s="13" t="str">
        <x:v>order UUID+后端业务订单号；ledger UUID；Stripe session/payment/event ID；价格版本</x:v>
      </x:c>
      <x:c r="O239" s="13" t="str">
        <x:v>order pending/paid/canceled/expired/failed/refunded；账本不可变</x:v>
      </x:c>
      <x:c r="P239" s="13" t="str">
        <x:v>套餐改价、重复点击、Checkout失败、Webhook重放/乱序/伪造、退款争议</x:v>
      </x:c>
      <x:c r="Q239" s="13" t="str">
        <x:v>用户只读本人订单/账本；仅验签Webhook入账；人工调点需授权</x:v>
      </x:c>
      <x:c r="R239" s="13" t="str">
        <x:v>下单键防重复；Event ID去重；订单行锁原子入账；订单/账本进入导出</x:v>
      </x:c>
    </x:row>
    <x:row r="240" ht="68" customHeight="1">
      <x:c r="A240" s="13" t="str">
        <x:v>第 3 期</x:v>
      </x:c>
      <x:c r="B240" s="13" t="str">
        <x:v>4. 点数与商业化</x:v>
      </x:c>
      <x:c r="C240" s="13" t="str">
        <x:v>BILL-004/005</x:v>
      </x:c>
      <x:c r="D240" s="13" t="str">
        <x:v>支付结果与点数账本</x:v>
      </x:c>
      <x:c r="E240" s="13" t="str">
        <x:v>FE-BILLING-11</x:v>
      </x:c>
      <x:c r="F240" s="13" t="str">
        <x:v>前端</x:v>
      </x:c>
      <x:c r="G240" s="13" t="str">
        <x:v>完成支付结果和点数账本页键盘与屏幕阅读器支持</x:v>
      </x:c>
      <x:c r="H240" s="13" t="str">
        <x:v>语义标签、焦点顺序、aria-live</x:v>
      </x:c>
      <x:c r="I240" s="13" t="str">
        <x:v>仅键盘可完成主流程；错误与状态可被读出</x:v>
      </x:c>
      <x:c r="J240" s="13" t="str">
        <x:v>—</x:v>
      </x:c>
      <x:c r="K240" s="13" t="str">
        <x:v>待完成</x:v>
      </x:c>
      <x:c r="L240" s="13" t="str">
        <x:v>09-17～09-18</x:v>
      </x:c>
      <x:c r="M240" s="13" t="str">
        <x:v>—</x:v>
      </x:c>
      <x:c r="N240" s="13" t="str">
        <x:v>order UUID+后端业务订单号；ledger UUID；Stripe session/payment/event ID；价格版本</x:v>
      </x:c>
      <x:c r="O240" s="13" t="str">
        <x:v>order pending/paid/canceled/expired/failed/refunded；账本不可变</x:v>
      </x:c>
      <x:c r="P240" s="13" t="str">
        <x:v>套餐改价、重复点击、Checkout失败、Webhook重放/乱序/伪造、退款争议</x:v>
      </x:c>
      <x:c r="Q240" s="13" t="str">
        <x:v>用户只读本人订单/账本；仅验签Webhook入账；人工调点需授权</x:v>
      </x:c>
      <x:c r="R240" s="13" t="str">
        <x:v>下单键防重复；Event ID去重；订单行锁原子入账；订单/账本进入导出</x:v>
      </x:c>
    </x:row>
    <x:row r="241" ht="68" customHeight="1">
      <x:c r="A241" s="13" t="str">
        <x:v>第 3 期</x:v>
      </x:c>
      <x:c r="B241" s="13" t="str">
        <x:v>4. 点数与商业化</x:v>
      </x:c>
      <x:c r="C241" s="13" t="str">
        <x:v>BILL-004/005</x:v>
      </x:c>
      <x:c r="D241" s="13" t="str">
        <x:v>支付结果与点数账本</x:v>
      </x:c>
      <x:c r="E241" s="13" t="str">
        <x:v>FE-BILLING-12</x:v>
      </x:c>
      <x:c r="F241" s="13" t="str">
        <x:v>前端</x:v>
      </x:c>
      <x:c r="G241" s="13" t="str">
        <x:v>编写支付结果和点数账本页组件测试</x:v>
      </x:c>
      <x:c r="H241" s="13" t="str">
        <x:v>组件与交互测试</x:v>
      </x:c>
      <x:c r="I241" s="13" t="str">
        <x:v>覆盖成功、校验失败、服务端失败和重复点击</x:v>
      </x:c>
      <x:c r="J241" s="13" t="str">
        <x:v>—</x:v>
      </x:c>
      <x:c r="K241" s="13" t="str">
        <x:v>待完成</x:v>
      </x:c>
      <x:c r="L241" s="13" t="str">
        <x:v>09-17～09-18</x:v>
      </x:c>
      <x:c r="M241" s="13" t="str">
        <x:v>—</x:v>
      </x:c>
      <x:c r="N241" s="13" t="str">
        <x:v>order UUID+后端业务订单号；ledger UUID；Stripe session/payment/event ID；价格版本</x:v>
      </x:c>
      <x:c r="O241" s="13" t="str">
        <x:v>order pending/paid/canceled/expired/failed/refunded；账本不可变</x:v>
      </x:c>
      <x:c r="P241" s="13" t="str">
        <x:v>套餐改价、重复点击、Checkout失败、Webhook重放/乱序/伪造、退款争议</x:v>
      </x:c>
      <x:c r="Q241" s="13" t="str">
        <x:v>用户只读本人订单/账本；仅验签Webhook入账；人工调点需授权</x:v>
      </x:c>
      <x:c r="R241" s="13" t="str">
        <x:v>下单键防重复；Event ID去重；订单行锁原子入账；订单/账本进入导出</x:v>
      </x:c>
    </x:row>
    <x:row r="242" ht="68" customHeight="1">
      <x:c r="A242" s="13" t="str">
        <x:v>第 3 期</x:v>
      </x:c>
      <x:c r="B242" s="13" t="str">
        <x:v>5. 最小运营支持</x:v>
      </x:c>
      <x:c r="C242" s="13" t="str">
        <x:v>OPS-001/002/003</x:v>
      </x:c>
      <x:c r="D242" s="13" t="str">
        <x:v>最小运营页面</x:v>
      </x:c>
      <x:c r="E242" s="13" t="str">
        <x:v>FE-OPS-01</x:v>
      </x:c>
      <x:c r="F242" s="13" t="str">
        <x:v>前端</x:v>
      </x:c>
      <x:c r="G242" s="13" t="str">
        <x:v>建立/admin/operations路由与页面边界</x:v>
      </x:c>
      <x:c r="H242" s="13" t="str">
        <x:v>/admin/operations路由、页面组件和Metadata</x:v>
      </x:c>
      <x:c r="I242" s="13" t="str">
        <x:v>直接访问路由可渲染；未授权跳转符合PRD；无运行时错误</x:v>
      </x:c>
      <x:c r="J242" s="13" t="str">
        <x:v>—</x:v>
      </x:c>
      <x:c r="K242" s="13" t="str">
        <x:v>待完成</x:v>
      </x:c>
      <x:c r="L242" s="13" t="str">
        <x:v>09-21～09-23</x:v>
      </x:c>
      <x:c r="M242" s="13" t="str">
        <x:v>—</x:v>
      </x:c>
      <x:c r="N242" s="13" t="str">
        <x:v>audit_id；actor_user_id；target_type+target_id；任务UUID或业务订单号</x:v>
      </x:c>
      <x:c r="O242" s="13" t="str">
        <x:v>operation requested/succeeded/failed；业务对象仍遵循自身状态机</x:v>
      </x:c>
      <x:c r="P242" s="13" t="str">
        <x:v>管理员越权、重复重试、重复调点、目标不存在、外部处理中</x:v>
      </x:c>
      <x:c r="Q242" s="13" t="str">
        <x:v>RBAC；查看/修改权限分离；人工变更记录原因和操作人</x:v>
      </x:c>
      <x:c r="R242" s="13" t="str">
        <x:v>重试/调点使用唯一业务键；审计不可修改且不进入个人数据导出</x:v>
      </x:c>
    </x:row>
    <x:row r="243" ht="68" customHeight="1">
      <x:c r="A243" s="13" t="str">
        <x:v>第 3 期</x:v>
      </x:c>
      <x:c r="B243" s="13" t="str">
        <x:v>5. 最小运营支持</x:v>
      </x:c>
      <x:c r="C243" s="13" t="str">
        <x:v>OPS-001/002/003</x:v>
      </x:c>
      <x:c r="D243" s="13" t="str">
        <x:v>最小运营页面</x:v>
      </x:c>
      <x:c r="E243" s="13" t="str">
        <x:v>FE-OPS-02</x:v>
      </x:c>
      <x:c r="F243" s="13" t="str">
        <x:v>前端</x:v>
      </x:c>
      <x:c r="G243" s="13" t="str">
        <x:v>定义/admin/operations页面状态模型</x:v>
      </x:c>
      <x:c r="H243" s="13" t="str">
        <x:v>页面状态类型与初始化逻辑</x:v>
      </x:c>
      <x:c r="I243" s="13" t="str">
        <x:v>每个状态只有一个含义；刷新后可恢复服务端状态</x:v>
      </x:c>
      <x:c r="J243" s="13" t="str">
        <x:v>FE-OPS-01</x:v>
      </x:c>
      <x:c r="K243" s="13" t="str">
        <x:v>待完成</x:v>
      </x:c>
      <x:c r="L243" s="13" t="str">
        <x:v>09-21～09-23</x:v>
      </x:c>
      <x:c r="M243" s="13" t="str">
        <x:v>—</x:v>
      </x:c>
      <x:c r="N243" s="13" t="str">
        <x:v>audit_id；actor_user_id；target_type+target_id；任务UUID或业务订单号</x:v>
      </x:c>
      <x:c r="O243" s="13" t="str">
        <x:v>operation requested/succeeded/failed；业务对象仍遵循自身状态机</x:v>
      </x:c>
      <x:c r="P243" s="13" t="str">
        <x:v>管理员越权、重复重试、重复调点、目标不存在、外部处理中</x:v>
      </x:c>
      <x:c r="Q243" s="13" t="str">
        <x:v>RBAC；查看/修改权限分离；人工变更记录原因和操作人</x:v>
      </x:c>
      <x:c r="R243" s="13" t="str">
        <x:v>重试/调点使用唯一业务键；审计不可修改且不进入个人数据导出</x:v>
      </x:c>
    </x:row>
    <x:row r="244" ht="68" customHeight="1">
      <x:c r="A244" s="13" t="str">
        <x:v>第 3 期</x:v>
      </x:c>
      <x:c r="B244" s="13" t="str">
        <x:v>5. 最小运营支持</x:v>
      </x:c>
      <x:c r="C244" s="13" t="str">
        <x:v>OPS-001/002/003</x:v>
      </x:c>
      <x:c r="D244" s="13" t="str">
        <x:v>最小运营页面</x:v>
      </x:c>
      <x:c r="E244" s="13" t="str">
        <x:v>FE-OPS-03</x:v>
      </x:c>
      <x:c r="F244" s="13" t="str">
        <x:v>前端</x:v>
      </x:c>
      <x:c r="G244" s="13" t="str">
        <x:v>实现管理员路由保护</x:v>
      </x:c>
      <x:c r="H244" s="13" t="str">
        <x:v>无权限用户不可见</x:v>
      </x:c>
      <x:c r="I244" s="13" t="str">
        <x:v>服务端仍二次鉴权</x:v>
      </x:c>
      <x:c r="J244" s="13" t="str">
        <x:v>—</x:v>
      </x:c>
      <x:c r="K244" s="13" t="str">
        <x:v>待完成</x:v>
      </x:c>
      <x:c r="L244" s="13" t="str">
        <x:v>09-21～09-23</x:v>
      </x:c>
      <x:c r="M244" s="13" t="str">
        <x:v>—</x:v>
      </x:c>
      <x:c r="N244" s="13" t="str">
        <x:v>audit_id；actor_user_id；target_type+target_id；任务UUID或业务订单号</x:v>
      </x:c>
      <x:c r="O244" s="13" t="str">
        <x:v>operation requested/succeeded/failed；业务对象仍遵循自身状态机</x:v>
      </x:c>
      <x:c r="P244" s="13" t="str">
        <x:v>管理员越权、重复重试、重复调点、目标不存在、外部处理中</x:v>
      </x:c>
      <x:c r="Q244" s="13" t="str">
        <x:v>RBAC；查看/修改权限分离；人工变更记录原因和操作人</x:v>
      </x:c>
      <x:c r="R244" s="13" t="str">
        <x:v>重试/调点使用唯一业务键；审计不可修改且不进入个人数据导出</x:v>
      </x:c>
    </x:row>
    <x:row r="245" ht="68" customHeight="1">
      <x:c r="A245" s="13" t="str">
        <x:v>第 3 期</x:v>
      </x:c>
      <x:c r="B245" s="13" t="str">
        <x:v>5. 最小运营支持</x:v>
      </x:c>
      <x:c r="C245" s="13" t="str">
        <x:v>OPS-001/002/003</x:v>
      </x:c>
      <x:c r="D245" s="13" t="str">
        <x:v>最小运营页面</x:v>
      </x:c>
      <x:c r="E245" s="13" t="str">
        <x:v>FE-OPS-04</x:v>
      </x:c>
      <x:c r="F245" s="13" t="str">
        <x:v>前端</x:v>
      </x:c>
      <x:c r="G245" s="13" t="str">
        <x:v>实现任务查询</x:v>
      </x:c>
      <x:c r="H245" s="13" t="str">
        <x:v>按任务UUID/用户查询</x:v>
      </x:c>
      <x:c r="I245" s="13" t="str">
        <x:v>只展示支持处理所需字段</x:v>
      </x:c>
      <x:c r="J245" s="13" t="str">
        <x:v>—</x:v>
      </x:c>
      <x:c r="K245" s="13" t="str">
        <x:v>待完成</x:v>
      </x:c>
      <x:c r="L245" s="13" t="str">
        <x:v>09-21～09-23</x:v>
      </x:c>
      <x:c r="M245" s="13" t="str">
        <x:v>—</x:v>
      </x:c>
      <x:c r="N245" s="13" t="str">
        <x:v>audit_id；actor_user_id；target_type+target_id；任务UUID或业务订单号</x:v>
      </x:c>
      <x:c r="O245" s="13" t="str">
        <x:v>operation requested/succeeded/failed；业务对象仍遵循自身状态机</x:v>
      </x:c>
      <x:c r="P245" s="13" t="str">
        <x:v>管理员越权、重复重试、重复调点、目标不存在、外部处理中</x:v>
      </x:c>
      <x:c r="Q245" s="13" t="str">
        <x:v>RBAC；查看/修改权限分离；人工变更记录原因和操作人</x:v>
      </x:c>
      <x:c r="R245" s="13" t="str">
        <x:v>重试/调点使用唯一业务键；审计不可修改且不进入个人数据导出</x:v>
      </x:c>
    </x:row>
    <x:row r="246" ht="68" customHeight="1">
      <x:c r="A246" s="13" t="str">
        <x:v>第 3 期</x:v>
      </x:c>
      <x:c r="B246" s="13" t="str">
        <x:v>5. 最小运营支持</x:v>
      </x:c>
      <x:c r="C246" s="13" t="str">
        <x:v>OPS-001/002/003</x:v>
      </x:c>
      <x:c r="D246" s="13" t="str">
        <x:v>最小运营页面</x:v>
      </x:c>
      <x:c r="E246" s="13" t="str">
        <x:v>FE-OPS-05</x:v>
      </x:c>
      <x:c r="F246" s="13" t="str">
        <x:v>前端</x:v>
      </x:c>
      <x:c r="G246" s="13" t="str">
        <x:v>实现安全重试确认</x:v>
      </x:c>
      <x:c r="H246" s="13" t="str">
        <x:v>显示目标、原因和结果</x:v>
      </x:c>
      <x:c r="I246" s="13" t="str">
        <x:v>重复点击不重复执行</x:v>
      </x:c>
      <x:c r="J246" s="13" t="str">
        <x:v>—</x:v>
      </x:c>
      <x:c r="K246" s="13" t="str">
        <x:v>待完成</x:v>
      </x:c>
      <x:c r="L246" s="13" t="str">
        <x:v>09-21～09-23</x:v>
      </x:c>
      <x:c r="M246" s="13" t="str">
        <x:v>—</x:v>
      </x:c>
      <x:c r="N246" s="13" t="str">
        <x:v>audit_id；actor_user_id；target_type+target_id；任务UUID或业务订单号</x:v>
      </x:c>
      <x:c r="O246" s="13" t="str">
        <x:v>operation requested/succeeded/failed；业务对象仍遵循自身状态机</x:v>
      </x:c>
      <x:c r="P246" s="13" t="str">
        <x:v>管理员越权、重复重试、重复调点、目标不存在、外部处理中</x:v>
      </x:c>
      <x:c r="Q246" s="13" t="str">
        <x:v>RBAC；查看/修改权限分离；人工变更记录原因和操作人</x:v>
      </x:c>
      <x:c r="R246" s="13" t="str">
        <x:v>重试/调点使用唯一业务键；审计不可修改且不进入个人数据导出</x:v>
      </x:c>
    </x:row>
    <x:row r="247" ht="68" customHeight="1">
      <x:c r="A247" s="13" t="str">
        <x:v>第 3 期</x:v>
      </x:c>
      <x:c r="B247" s="13" t="str">
        <x:v>5. 最小运营支持</x:v>
      </x:c>
      <x:c r="C247" s="13" t="str">
        <x:v>OPS-001/002/003</x:v>
      </x:c>
      <x:c r="D247" s="13" t="str">
        <x:v>最小运营页面</x:v>
      </x:c>
      <x:c r="E247" s="13" t="str">
        <x:v>FE-OPS-06</x:v>
      </x:c>
      <x:c r="F247" s="13" t="str">
        <x:v>前端</x:v>
      </x:c>
      <x:c r="G247" s="13" t="str">
        <x:v>实现订单/Webhook查询</x:v>
      </x:c>
      <x:c r="H247" s="13" t="str">
        <x:v>业务订单号、Session/Event查询</x:v>
      </x:c>
      <x:c r="I247" s="13" t="str">
        <x:v>敏感支付字段不展示</x:v>
      </x:c>
      <x:c r="J247" s="13" t="str">
        <x:v>—</x:v>
      </x:c>
      <x:c r="K247" s="13" t="str">
        <x:v>待完成</x:v>
      </x:c>
      <x:c r="L247" s="13" t="str">
        <x:v>09-21～09-23</x:v>
      </x:c>
      <x:c r="M247" s="13" t="str">
        <x:v>—</x:v>
      </x:c>
      <x:c r="N247" s="13" t="str">
        <x:v>audit_id；actor_user_id；target_type+target_id；任务UUID或业务订单号</x:v>
      </x:c>
      <x:c r="O247" s="13" t="str">
        <x:v>operation requested/succeeded/failed；业务对象仍遵循自身状态机</x:v>
      </x:c>
      <x:c r="P247" s="13" t="str">
        <x:v>管理员越权、重复重试、重复调点、目标不存在、外部处理中</x:v>
      </x:c>
      <x:c r="Q247" s="13" t="str">
        <x:v>RBAC；查看/修改权限分离；人工变更记录原因和操作人</x:v>
      </x:c>
      <x:c r="R247" s="13" t="str">
        <x:v>重试/调点使用唯一业务键；审计不可修改且不进入个人数据导出</x:v>
      </x:c>
    </x:row>
    <x:row r="248" ht="68" customHeight="1">
      <x:c r="A248" s="13" t="str">
        <x:v>第 3 期</x:v>
      </x:c>
      <x:c r="B248" s="13" t="str">
        <x:v>5. 最小运营支持</x:v>
      </x:c>
      <x:c r="C248" s="13" t="str">
        <x:v>OPS-001/002/003</x:v>
      </x:c>
      <x:c r="D248" s="13" t="str">
        <x:v>最小运营页面</x:v>
      </x:c>
      <x:c r="E248" s="13" t="str">
        <x:v>FE-OPS-07</x:v>
      </x:c>
      <x:c r="F248" s="13" t="str">
        <x:v>前端</x:v>
      </x:c>
      <x:c r="G248" s="13" t="str">
        <x:v>实现人工调点表单</x:v>
      </x:c>
      <x:c r="H248" s="13" t="str">
        <x:v>用户、点数、原因、幂等键</x:v>
      </x:c>
      <x:c r="I248" s="13" t="str">
        <x:v>提交前二次确认</x:v>
      </x:c>
      <x:c r="J248" s="13" t="str">
        <x:v>—</x:v>
      </x:c>
      <x:c r="K248" s="13" t="str">
        <x:v>待完成</x:v>
      </x:c>
      <x:c r="L248" s="13" t="str">
        <x:v>09-21～09-23</x:v>
      </x:c>
      <x:c r="M248" s="13" t="str">
        <x:v>—</x:v>
      </x:c>
      <x:c r="N248" s="13" t="str">
        <x:v>audit_id；actor_user_id；target_type+target_id；任务UUID或业务订单号</x:v>
      </x:c>
      <x:c r="O248" s="13" t="str">
        <x:v>operation requested/succeeded/failed；业务对象仍遵循自身状态机</x:v>
      </x:c>
      <x:c r="P248" s="13" t="str">
        <x:v>管理员越权、重复重试、重复调点、目标不存在、外部处理中</x:v>
      </x:c>
      <x:c r="Q248" s="13" t="str">
        <x:v>RBAC；查看/修改权限分离；人工变更记录原因和操作人</x:v>
      </x:c>
      <x:c r="R248" s="13" t="str">
        <x:v>重试/调点使用唯一业务键；审计不可修改且不进入个人数据导出</x:v>
      </x:c>
    </x:row>
    <x:row r="249" ht="68" customHeight="1">
      <x:c r="A249" s="13" t="str">
        <x:v>第 3 期</x:v>
      </x:c>
      <x:c r="B249" s="13" t="str">
        <x:v>5. 最小运营支持</x:v>
      </x:c>
      <x:c r="C249" s="13" t="str">
        <x:v>OPS-001/002/003</x:v>
      </x:c>
      <x:c r="D249" s="13" t="str">
        <x:v>最小运营页面</x:v>
      </x:c>
      <x:c r="E249" s="13" t="str">
        <x:v>FE-OPS-08</x:v>
      </x:c>
      <x:c r="F249" s="13" t="str">
        <x:v>前端</x:v>
      </x:c>
      <x:c r="G249" s="13" t="str">
        <x:v>展示操作审计结果</x:v>
      </x:c>
      <x:c r="H249" s="13" t="str">
        <x:v>操作人、目标、原因、时间、结果</x:v>
      </x:c>
      <x:c r="I249" s="13" t="str">
        <x:v>不可在页面编辑审计</x:v>
      </x:c>
      <x:c r="J249" s="13" t="str">
        <x:v>—</x:v>
      </x:c>
      <x:c r="K249" s="13" t="str">
        <x:v>待完成</x:v>
      </x:c>
      <x:c r="L249" s="13" t="str">
        <x:v>09-21～09-23</x:v>
      </x:c>
      <x:c r="M249" s="13" t="str">
        <x:v>—</x:v>
      </x:c>
      <x:c r="N249" s="13" t="str">
        <x:v>audit_id；actor_user_id；target_type+target_id；任务UUID或业务订单号</x:v>
      </x:c>
      <x:c r="O249" s="13" t="str">
        <x:v>operation requested/succeeded/failed；业务对象仍遵循自身状态机</x:v>
      </x:c>
      <x:c r="P249" s="13" t="str">
        <x:v>管理员越权、重复重试、重复调点、目标不存在、外部处理中</x:v>
      </x:c>
      <x:c r="Q249" s="13" t="str">
        <x:v>RBAC；查看/修改权限分离；人工变更记录原因和操作人</x:v>
      </x:c>
      <x:c r="R249" s="13" t="str">
        <x:v>重试/调点使用唯一业务键；审计不可修改且不进入个人数据导出</x:v>
      </x:c>
    </x:row>
    <x:row r="250" ht="68" customHeight="1">
      <x:c r="A250" s="13" t="str">
        <x:v>第 3 期</x:v>
      </x:c>
      <x:c r="B250" s="13" t="str">
        <x:v>5. 最小运营支持</x:v>
      </x:c>
      <x:c r="C250" s="13" t="str">
        <x:v>OPS-001/002/003</x:v>
      </x:c>
      <x:c r="D250" s="13" t="str">
        <x:v>最小运营页面</x:v>
      </x:c>
      <x:c r="E250" s="13" t="str">
        <x:v>FE-OPS-09</x:v>
      </x:c>
      <x:c r="F250" s="13" t="str">
        <x:v>前端</x:v>
      </x:c>
      <x:c r="G250" s="13" t="str">
        <x:v>接入/admin/operations服务端接口</x:v>
      </x:c>
      <x:c r="H250" s="13" t="str">
        <x:v>admin operations APIs客户端适配器</x:v>
      </x:c>
      <x:c r="I250" s="13" t="str">
        <x:v>请求字段与共享Schema一致；不在组件内拼装不受控请求</x:v>
      </x:c>
      <x:c r="J250" s="13" t="str">
        <x:v>FE-OPS-02</x:v>
      </x:c>
      <x:c r="K250" s="13" t="str">
        <x:v>待完成</x:v>
      </x:c>
      <x:c r="L250" s="13" t="str">
        <x:v>09-21～09-23</x:v>
      </x:c>
      <x:c r="M250" s="13" t="str">
        <x:v>—</x:v>
      </x:c>
      <x:c r="N250" s="13" t="str">
        <x:v>audit_id；actor_user_id；target_type+target_id；任务UUID或业务订单号</x:v>
      </x:c>
      <x:c r="O250" s="13" t="str">
        <x:v>operation requested/succeeded/failed；业务对象仍遵循自身状态机</x:v>
      </x:c>
      <x:c r="P250" s="13" t="str">
        <x:v>管理员越权、重复重试、重复调点、目标不存在、外部处理中</x:v>
      </x:c>
      <x:c r="Q250" s="13" t="str">
        <x:v>RBAC；查看/修改权限分离；人工变更记录原因和操作人</x:v>
      </x:c>
      <x:c r="R250" s="13" t="str">
        <x:v>重试/调点使用唯一业务键；审计不可修改且不进入个人数据导出</x:v>
      </x:c>
    </x:row>
    <x:row r="251" ht="68" customHeight="1">
      <x:c r="A251" s="13" t="str">
        <x:v>第 3 期</x:v>
      </x:c>
      <x:c r="B251" s="13" t="str">
        <x:v>5. 最小运营支持</x:v>
      </x:c>
      <x:c r="C251" s="13" t="str">
        <x:v>OPS-001/002/003</x:v>
      </x:c>
      <x:c r="D251" s="13" t="str">
        <x:v>最小运营页面</x:v>
      </x:c>
      <x:c r="E251" s="13" t="str">
        <x:v>FE-OPS-10</x:v>
      </x:c>
      <x:c r="F251" s="13" t="str">
        <x:v>前端</x:v>
      </x:c>
      <x:c r="G251" s="13" t="str">
        <x:v>实现/admin/operations加载状态</x:v>
      </x:c>
      <x:c r="H251" s="13" t="str">
        <x:v>骨架屏或进度反馈</x:v>
      </x:c>
      <x:c r="I251" s="13" t="str">
        <x:v>请求期间有可感知反馈；重复操作被禁用</x:v>
      </x:c>
      <x:c r="J251" s="13" t="str">
        <x:v>FE-OPS-02</x:v>
      </x:c>
      <x:c r="K251" s="13" t="str">
        <x:v>待完成</x:v>
      </x:c>
      <x:c r="L251" s="13" t="str">
        <x:v>09-21～09-23</x:v>
      </x:c>
      <x:c r="M251" s="13" t="str">
        <x:v>—</x:v>
      </x:c>
      <x:c r="N251" s="13" t="str">
        <x:v>audit_id；actor_user_id；target_type+target_id；任务UUID或业务订单号</x:v>
      </x:c>
      <x:c r="O251" s="13" t="str">
        <x:v>operation requested/succeeded/failed；业务对象仍遵循自身状态机</x:v>
      </x:c>
      <x:c r="P251" s="13" t="str">
        <x:v>管理员越权、重复重试、重复调点、目标不存在、外部处理中</x:v>
      </x:c>
      <x:c r="Q251" s="13" t="str">
        <x:v>RBAC；查看/修改权限分离；人工变更记录原因和操作人</x:v>
      </x:c>
      <x:c r="R251" s="13" t="str">
        <x:v>重试/调点使用唯一业务键；审计不可修改且不进入个人数据导出</x:v>
      </x:c>
    </x:row>
    <x:row r="252" ht="68" customHeight="1">
      <x:c r="A252" s="13" t="str">
        <x:v>第 3 期</x:v>
      </x:c>
      <x:c r="B252" s="13" t="str">
        <x:v>5. 最小运营支持</x:v>
      </x:c>
      <x:c r="C252" s="13" t="str">
        <x:v>OPS-001/002/003</x:v>
      </x:c>
      <x:c r="D252" s="13" t="str">
        <x:v>最小运营页面</x:v>
      </x:c>
      <x:c r="E252" s="13" t="str">
        <x:v>FE-OPS-11</x:v>
      </x:c>
      <x:c r="F252" s="13" t="str">
        <x:v>前端</x:v>
      </x:c>
      <x:c r="G252" s="13" t="str">
        <x:v>实现/admin/operations错误映射</x:v>
      </x:c>
      <x:c r="H252" s="13" t="str">
        <x:v>稳定错误码到双语用户文案的映射</x:v>
      </x:c>
      <x:c r="I252" s="13" t="str">
        <x:v>业务错误可恢复；未知错误不泄露内部信息</x:v>
      </x:c>
      <x:c r="J252" s="13" t="str">
        <x:v>FE-OPS-02</x:v>
      </x:c>
      <x:c r="K252" s="13" t="str">
        <x:v>待完成</x:v>
      </x:c>
      <x:c r="L252" s="13" t="str">
        <x:v>09-21～09-23</x:v>
      </x:c>
      <x:c r="M252" s="13" t="str">
        <x:v>—</x:v>
      </x:c>
      <x:c r="N252" s="13" t="str">
        <x:v>audit_id；actor_user_id；target_type+target_id；任务UUID或业务订单号</x:v>
      </x:c>
      <x:c r="O252" s="13" t="str">
        <x:v>operation requested/succeeded/failed；业务对象仍遵循自身状态机</x:v>
      </x:c>
      <x:c r="P252" s="13" t="str">
        <x:v>管理员越权、重复重试、重复调点、目标不存在、外部处理中</x:v>
      </x:c>
      <x:c r="Q252" s="13" t="str">
        <x:v>RBAC；查看/修改权限分离；人工变更记录原因和操作人</x:v>
      </x:c>
      <x:c r="R252" s="13" t="str">
        <x:v>重试/调点使用唯一业务键；审计不可修改且不进入个人数据导出</x:v>
      </x:c>
    </x:row>
    <x:row r="253" ht="68" customHeight="1">
      <x:c r="A253" s="13" t="str">
        <x:v>第 3 期</x:v>
      </x:c>
      <x:c r="B253" s="13" t="str">
        <x:v>5. 最小运营支持</x:v>
      </x:c>
      <x:c r="C253" s="13" t="str">
        <x:v>OPS-001/002/003</x:v>
      </x:c>
      <x:c r="D253" s="13" t="str">
        <x:v>最小运营页面</x:v>
      </x:c>
      <x:c r="E253" s="13" t="str">
        <x:v>FE-OPS-12</x:v>
      </x:c>
      <x:c r="F253" s="13" t="str">
        <x:v>前端</x:v>
      </x:c>
      <x:c r="G253" s="13" t="str">
        <x:v>完成/admin/operations中英文文案</x:v>
      </x:c>
      <x:c r="H253" s="13" t="str">
        <x:v>en/zh词条</x:v>
      </x:c>
      <x:c r="I253" s="13" t="str">
        <x:v>切换语言后字段含义、按钮和错误保持一致</x:v>
      </x:c>
      <x:c r="J253" s="13" t="str">
        <x:v>—</x:v>
      </x:c>
      <x:c r="K253" s="13" t="str">
        <x:v>待完成</x:v>
      </x:c>
      <x:c r="L253" s="13" t="str">
        <x:v>09-21～09-23</x:v>
      </x:c>
      <x:c r="M253" s="13" t="str">
        <x:v>—</x:v>
      </x:c>
      <x:c r="N253" s="13" t="str">
        <x:v>audit_id；actor_user_id；target_type+target_id；任务UUID或业务订单号</x:v>
      </x:c>
      <x:c r="O253" s="13" t="str">
        <x:v>operation requested/succeeded/failed；业务对象仍遵循自身状态机</x:v>
      </x:c>
      <x:c r="P253" s="13" t="str">
        <x:v>管理员越权、重复重试、重复调点、目标不存在、外部处理中</x:v>
      </x:c>
      <x:c r="Q253" s="13" t="str">
        <x:v>RBAC；查看/修改权限分离；人工变更记录原因和操作人</x:v>
      </x:c>
      <x:c r="R253" s="13" t="str">
        <x:v>重试/调点使用唯一业务键；审计不可修改且不进入个人数据导出</x:v>
      </x:c>
    </x:row>
    <x:row r="254" ht="68" customHeight="1">
      <x:c r="A254" s="13" t="str">
        <x:v>第 3 期</x:v>
      </x:c>
      <x:c r="B254" s="13" t="str">
        <x:v>5. 最小运营支持</x:v>
      </x:c>
      <x:c r="C254" s="13" t="str">
        <x:v>OPS-001/002/003</x:v>
      </x:c>
      <x:c r="D254" s="13" t="str">
        <x:v>最小运营页面</x:v>
      </x:c>
      <x:c r="E254" s="13" t="str">
        <x:v>FE-OPS-13</x:v>
      </x:c>
      <x:c r="F254" s="13" t="str">
        <x:v>前端</x:v>
      </x:c>
      <x:c r="G254" s="13" t="str">
        <x:v>完成/admin/operations键盘与屏幕阅读器支持</x:v>
      </x:c>
      <x:c r="H254" s="13" t="str">
        <x:v>语义标签、焦点顺序、aria-live</x:v>
      </x:c>
      <x:c r="I254" s="13" t="str">
        <x:v>仅键盘可完成主流程；错误与状态可被读出</x:v>
      </x:c>
      <x:c r="J254" s="13" t="str">
        <x:v>—</x:v>
      </x:c>
      <x:c r="K254" s="13" t="str">
        <x:v>待完成</x:v>
      </x:c>
      <x:c r="L254" s="13" t="str">
        <x:v>09-21～09-23</x:v>
      </x:c>
      <x:c r="M254" s="13" t="str">
        <x:v>—</x:v>
      </x:c>
      <x:c r="N254" s="13" t="str">
        <x:v>audit_id；actor_user_id；target_type+target_id；任务UUID或业务订单号</x:v>
      </x:c>
      <x:c r="O254" s="13" t="str">
        <x:v>operation requested/succeeded/failed；业务对象仍遵循自身状态机</x:v>
      </x:c>
      <x:c r="P254" s="13" t="str">
        <x:v>管理员越权、重复重试、重复调点、目标不存在、外部处理中</x:v>
      </x:c>
      <x:c r="Q254" s="13" t="str">
        <x:v>RBAC；查看/修改权限分离；人工变更记录原因和操作人</x:v>
      </x:c>
      <x:c r="R254" s="13" t="str">
        <x:v>重试/调点使用唯一业务键；审计不可修改且不进入个人数据导出</x:v>
      </x:c>
    </x:row>
    <x:row r="255" ht="68" customHeight="1">
      <x:c r="A255" s="13" t="str">
        <x:v>第 3 期</x:v>
      </x:c>
      <x:c r="B255" s="13" t="str">
        <x:v>5. 最小运营支持</x:v>
      </x:c>
      <x:c r="C255" s="13" t="str">
        <x:v>OPS-001/002/003</x:v>
      </x:c>
      <x:c r="D255" s="13" t="str">
        <x:v>最小运营页面</x:v>
      </x:c>
      <x:c r="E255" s="13" t="str">
        <x:v>FE-OPS-14</x:v>
      </x:c>
      <x:c r="F255" s="13" t="str">
        <x:v>前端</x:v>
      </x:c>
      <x:c r="G255" s="13" t="str">
        <x:v>编写/admin/operations组件测试</x:v>
      </x:c>
      <x:c r="H255" s="13" t="str">
        <x:v>组件与交互测试</x:v>
      </x:c>
      <x:c r="I255" s="13" t="str">
        <x:v>覆盖成功、校验失败、服务端失败和重复点击</x:v>
      </x:c>
      <x:c r="J255" s="13" t="str">
        <x:v>—</x:v>
      </x:c>
      <x:c r="K255" s="13" t="str">
        <x:v>待完成</x:v>
      </x:c>
      <x:c r="L255" s="13" t="str">
        <x:v>09-21～09-23</x:v>
      </x:c>
      <x:c r="M255" s="13" t="str">
        <x:v>—</x:v>
      </x:c>
      <x:c r="N255" s="13" t="str">
        <x:v>audit_id；actor_user_id；target_type+target_id；任务UUID或业务订单号</x:v>
      </x:c>
      <x:c r="O255" s="13" t="str">
        <x:v>operation requested/succeeded/failed；业务对象仍遵循自身状态机</x:v>
      </x:c>
      <x:c r="P255" s="13" t="str">
        <x:v>管理员越权、重复重试、重复调点、目标不存在、外部处理中</x:v>
      </x:c>
      <x:c r="Q255" s="13" t="str">
        <x:v>RBAC；查看/修改权限分离；人工变更记录原因和操作人</x:v>
      </x:c>
      <x:c r="R255" s="13" t="str">
        <x:v>重试/调点使用唯一业务键；审计不可修改且不进入个人数据导出</x:v>
      </x:c>
    </x:row>
    <x:row r="256" ht="68" customHeight="1">
      <x:c r="A256" s="13" t="str">
        <x:v>第 3 期</x:v>
      </x:c>
      <x:c r="B256" s="13" t="str">
        <x:v>6. 平台、工程与上线</x:v>
      </x:c>
      <x:c r="C256" s="13" t="str">
        <x:v>REL-FE</x:v>
      </x:c>
      <x:c r="D256" s="13" t="str">
        <x:v>前端上线验收</x:v>
      </x:c>
      <x:c r="E256" s="13" t="str">
        <x:v>FE-RELEASE-01</x:v>
      </x:c>
      <x:c r="F256" s="13" t="str">
        <x:v>前端</x:v>
      </x:c>
      <x:c r="G256" s="13" t="str">
        <x:v>完成核心闭环双语巡检</x:v>
      </x:c>
      <x:c r="H256" s="13" t="str">
        <x:v>页面和错误词条清单</x:v>
      </x:c>
      <x:c r="I256" s="13" t="str">
        <x:v>英文/中文均可完成注册到下载</x:v>
      </x:c>
      <x:c r="J256" s="13" t="str">
        <x:v>—</x:v>
      </x:c>
      <x:c r="K256" s="13" t="str">
        <x:v>待完成</x:v>
      </x:c>
      <x:c r="L256" s="13" t="str">
        <x:v>09-24～09-27</x:v>
      </x:c>
      <x:c r="M256" s="13" t="str">
        <x:v>—</x:v>
      </x:c>
      <x:c r="N256" s="13" t="str">
        <x:v>配置/Skill/模型/部署版本；provider request ID；环境标识</x:v>
      </x:c>
      <x:c r="O256" s="13" t="str">
        <x:v>服务health；配置启停；队列queued/processing/DLQ</x:v>
      </x:c>
      <x:c r="P256" s="13" t="str">
        <x:v>配置缺失、密钥无效、限流、部署失败、队列积压、重复定时任务</x:v>
      </x:c>
      <x:c r="Q256" s="13" t="str">
        <x:v>环境隔离、最小权限、生产审计、日志脱敏</x:v>
      </x:c>
      <x:c r="R256" s="13" t="str">
        <x:v>部署可回滚；Worker/清理任务可重入；密钥不入库不导出</x:v>
      </x:c>
    </x:row>
    <x:row r="257" ht="68" customHeight="1">
      <x:c r="A257" s="13" t="str">
        <x:v>第 3 期</x:v>
      </x:c>
      <x:c r="B257" s="13" t="str">
        <x:v>6. 平台、工程与上线</x:v>
      </x:c>
      <x:c r="C257" s="13" t="str">
        <x:v>REL-FE</x:v>
      </x:c>
      <x:c r="D257" s="13" t="str">
        <x:v>前端上线验收</x:v>
      </x:c>
      <x:c r="E257" s="13" t="str">
        <x:v>FE-RELEASE-02</x:v>
      </x:c>
      <x:c r="F257" s="13" t="str">
        <x:v>前端</x:v>
      </x:c>
      <x:c r="G257" s="13" t="str">
        <x:v>完成响应式巡检</x:v>
      </x:c>
      <x:c r="H257" s="13" t="str">
        <x:v>关键页面截图和问题清单</x:v>
      </x:c>
      <x:c r="I257" s="13" t="str">
        <x:v>320/768/1440宽度无阻断问题</x:v>
      </x:c>
      <x:c r="J257" s="13" t="str">
        <x:v>—</x:v>
      </x:c>
      <x:c r="K257" s="13" t="str">
        <x:v>待完成</x:v>
      </x:c>
      <x:c r="L257" s="13" t="str">
        <x:v>09-24～09-27</x:v>
      </x:c>
      <x:c r="M257" s="13" t="str">
        <x:v>—</x:v>
      </x:c>
      <x:c r="N257" s="13" t="str">
        <x:v>配置/Skill/模型/部署版本；provider request ID；环境标识</x:v>
      </x:c>
      <x:c r="O257" s="13" t="str">
        <x:v>服务health；配置启停；队列queued/processing/DLQ</x:v>
      </x:c>
      <x:c r="P257" s="13" t="str">
        <x:v>配置缺失、密钥无效、限流、部署失败、队列积压、重复定时任务</x:v>
      </x:c>
      <x:c r="Q257" s="13" t="str">
        <x:v>环境隔离、最小权限、生产审计、日志脱敏</x:v>
      </x:c>
      <x:c r="R257" s="13" t="str">
        <x:v>部署可回滚；Worker/清理任务可重入；密钥不入库不导出</x:v>
      </x:c>
    </x:row>
    <x:row r="258" ht="68" customHeight="1">
      <x:c r="A258" s="13" t="str">
        <x:v>第 3 期</x:v>
      </x:c>
      <x:c r="B258" s="13" t="str">
        <x:v>6. 平台、工程与上线</x:v>
      </x:c>
      <x:c r="C258" s="13" t="str">
        <x:v>REL-FE</x:v>
      </x:c>
      <x:c r="D258" s="13" t="str">
        <x:v>前端上线验收</x:v>
      </x:c>
      <x:c r="E258" s="13" t="str">
        <x:v>FE-RELEASE-03</x:v>
      </x:c>
      <x:c r="F258" s="13" t="str">
        <x:v>前端</x:v>
      </x:c>
      <x:c r="G258" s="13" t="str">
        <x:v>完成可访问性巡检</x:v>
      </x:c>
      <x:c r="H258" s="13" t="str">
        <x:v>键盘、对比度、语义检查</x:v>
      </x:c>
      <x:c r="I258" s="13" t="str">
        <x:v>关键流程无严重问题</x:v>
      </x:c>
      <x:c r="J258" s="13" t="str">
        <x:v>—</x:v>
      </x:c>
      <x:c r="K258" s="13" t="str">
        <x:v>待完成</x:v>
      </x:c>
      <x:c r="L258" s="13" t="str">
        <x:v>09-24～09-27</x:v>
      </x:c>
      <x:c r="M258" s="13" t="str">
        <x:v>—</x:v>
      </x:c>
      <x:c r="N258" s="13" t="str">
        <x:v>配置/Skill/模型/部署版本；provider request ID；环境标识</x:v>
      </x:c>
      <x:c r="O258" s="13" t="str">
        <x:v>服务health；配置启停；队列queued/processing/DLQ</x:v>
      </x:c>
      <x:c r="P258" s="13" t="str">
        <x:v>配置缺失、密钥无效、限流、部署失败、队列积压、重复定时任务</x:v>
      </x:c>
      <x:c r="Q258" s="13" t="str">
        <x:v>环境隔离、最小权限、生产审计、日志脱敏</x:v>
      </x:c>
      <x:c r="R258" s="13" t="str">
        <x:v>部署可回滚；Worker/清理任务可重入；密钥不入库不导出</x:v>
      </x:c>
    </x:row>
    <x:row r="259" ht="68" customHeight="1">
      <x:c r="A259" s="13" t="str">
        <x:v>第 3 期</x:v>
      </x:c>
      <x:c r="B259" s="13" t="str">
        <x:v>6. 平台、工程与上线</x:v>
      </x:c>
      <x:c r="C259" s="13" t="str">
        <x:v>REL-FE</x:v>
      </x:c>
      <x:c r="D259" s="13" t="str">
        <x:v>前端上线验收</x:v>
      </x:c>
      <x:c r="E259" s="13" t="str">
        <x:v>FE-RELEASE-04</x:v>
      </x:c>
      <x:c r="F259" s="13" t="str">
        <x:v>前端</x:v>
      </x:c>
      <x:c r="G259" s="13" t="str">
        <x:v>完成前端性能检查</x:v>
      </x:c>
      <x:c r="H259" s="13" t="str">
        <x:v>Core Web Vitals基线</x:v>
      </x:c>
      <x:c r="I259" s="13" t="str">
        <x:v>首屏和大列表无明显阻塞</x:v>
      </x:c>
      <x:c r="J259" s="13" t="str">
        <x:v>—</x:v>
      </x:c>
      <x:c r="K259" s="13" t="str">
        <x:v>待完成</x:v>
      </x:c>
      <x:c r="L259" s="13" t="str">
        <x:v>09-24～09-27</x:v>
      </x:c>
      <x:c r="M259" s="13" t="str">
        <x:v>—</x:v>
      </x:c>
      <x:c r="N259" s="13" t="str">
        <x:v>配置/Skill/模型/部署版本；provider request ID；环境标识</x:v>
      </x:c>
      <x:c r="O259" s="13" t="str">
        <x:v>服务health；配置启停；队列queued/processing/DLQ</x:v>
      </x:c>
      <x:c r="P259" s="13" t="str">
        <x:v>配置缺失、密钥无效、限流、部署失败、队列积压、重复定时任务</x:v>
      </x:c>
      <x:c r="Q259" s="13" t="str">
        <x:v>环境隔离、最小权限、生产审计、日志脱敏</x:v>
      </x:c>
      <x:c r="R259" s="13" t="str">
        <x:v>部署可回滚；Worker/清理任务可重入；密钥不入库不导出</x:v>
      </x:c>
    </x:row>
    <x:row r="260" ht="68" customHeight="1">
      <x:c r="A260" s="13" t="str">
        <x:v>第 3 期</x:v>
      </x:c>
      <x:c r="B260" s="13" t="str">
        <x:v>6. 平台、工程与上线</x:v>
      </x:c>
      <x:c r="C260" s="13" t="str">
        <x:v>REL-FE</x:v>
      </x:c>
      <x:c r="D260" s="13" t="str">
        <x:v>前端上线验收</x:v>
      </x:c>
      <x:c r="E260" s="13" t="str">
        <x:v>FE-RELEASE-05</x:v>
      </x:c>
      <x:c r="F260" s="13" t="str">
        <x:v>前端</x:v>
      </x:c>
      <x:c r="G260" s="13" t="str">
        <x:v>完成错误恢复E2E</x:v>
      </x:c>
      <x:c r="H260" s="13" t="str">
        <x:v>断网、刷新、重复点击、过期URL</x:v>
      </x:c>
      <x:c r="I260" s="13" t="str">
        <x:v>状态可恢复且不重复扣费</x:v>
      </x:c>
      <x:c r="J260" s="13" t="str">
        <x:v>—</x:v>
      </x:c>
      <x:c r="K260" s="13" t="str">
        <x:v>待完成</x:v>
      </x:c>
      <x:c r="L260" s="13" t="str">
        <x:v>09-24～09-27</x:v>
      </x:c>
      <x:c r="M260" s="13" t="str">
        <x:v>—</x:v>
      </x:c>
      <x:c r="N260" s="13" t="str">
        <x:v>配置/Skill/模型/部署版本；provider request ID；环境标识</x:v>
      </x:c>
      <x:c r="O260" s="13" t="str">
        <x:v>服务health；配置启停；队列queued/processing/DLQ</x:v>
      </x:c>
      <x:c r="P260" s="13" t="str">
        <x:v>配置缺失、密钥无效、限流、部署失败、队列积压、重复定时任务</x:v>
      </x:c>
      <x:c r="Q260" s="13" t="str">
        <x:v>环境隔离、最小权限、生产审计、日志脱敏</x:v>
      </x:c>
      <x:c r="R260" s="13" t="str">
        <x:v>部署可回滚；Worker/清理任务可重入；密钥不入库不导出</x:v>
      </x:c>
    </x:row>
  </x:sheetData>
  <x:mergeCells>
    <x:mergeCell ref="A1:R1"/>
    <x:mergeCell ref="A2:R2"/>
  </x:mergeCells>
  <x:conditionalFormatting sqref="K4:K260">
    <x:cfRule type="containsText" dxfId="0" priority="1" operator="containsText" text="已完成"/>
    <x:cfRule type="containsText" dxfId="1" priority="2" operator="containsText" text="待完成"/>
  </x:conditionalFormatting>
  <x:dataValidations count="1">
    <x:dataValidation type="list" sqref="K4:K260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168eb1542b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2" hidden="0" customWidth="1"/>
    <x:col min="7" max="7" width="42" hidden="0" customWidth="1"/>
    <x:col min="8" max="8" width="42" hidden="0" customWidth="1"/>
    <x:col min="9" max="9" width="52" hidden="0" customWidth="1"/>
    <x:col min="10" max="10" width="24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Bamboo IconGen 后端原子级开发计划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每行是不可再拆的原子任务：单一动作、单一交付物、单一验收结果；完成状态必须有代码或文档证据。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PRD需求ID</x:v>
      </x:c>
      <x:c r="D3" s="11" t="str">
        <x:v>功能点</x:v>
      </x:c>
      <x:c r="E3" s="11" t="str">
        <x:v>原子任务ID</x:v>
      </x:c>
      <x:c r="F3" s="11" t="str">
        <x:v>责任端</x:v>
      </x:c>
      <x:c r="G3" s="11" t="str">
        <x:v>原子开发任务</x:v>
      </x:c>
      <x:c r="H3" s="11" t="str">
        <x:v>唯一交付物</x:v>
      </x:c>
      <x:c r="I3" s="11" t="str">
        <x:v>独立验收标准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68" customHeight="1">
      <x:c r="A4" s="13" t="str">
        <x:v>第 1 期</x:v>
      </x:c>
      <x:c r="B4" s="13" t="str">
        <x:v>6. 平台、工程与上线</x:v>
      </x:c>
      <x:c r="C4" s="13" t="str">
        <x:v>ENG-BE</x:v>
      </x:c>
      <x:c r="D4" s="13" t="str">
        <x:v>后端工程与共享契约</x:v>
      </x:c>
      <x:c r="E4" s="13" t="str">
        <x:v>BE-BASE-01</x:v>
      </x:c>
      <x:c r="F4" s="13" t="str">
        <x:v>后端</x:v>
      </x:c>
      <x:c r="G4" s="13" t="str">
        <x:v>建立backend-core端口</x:v>
      </x:c>
      <x:c r="H4" s="13" t="str">
        <x:v>Repository、Provider、Store、Compiler接口</x:v>
      </x:c>
      <x:c r="I4" s="13" t="str">
        <x:v>领域逻辑不依赖Supabase/OpenAI具体实现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配置/Skill/模型/部署版本；provider request ID；环境标识</x:v>
      </x:c>
      <x:c r="O4" s="13" t="str">
        <x:v>服务health；配置启停；队列queued/processing/DLQ</x:v>
      </x:c>
      <x:c r="P4" s="13" t="str">
        <x:v>配置缺失、密钥无效、限流、部署失败、队列积压、重复定时任务</x:v>
      </x:c>
      <x:c r="Q4" s="13" t="str">
        <x:v>环境隔离、最小权限、生产审计、日志脱敏</x:v>
      </x:c>
      <x:c r="R4" s="13" t="str">
        <x:v>部署可回滚；Worker/清理任务可重入；密钥不入库不导出</x:v>
      </x:c>
    </x:row>
    <x:row r="5" ht="68" customHeight="1">
      <x:c r="A5" s="13" t="str">
        <x:v>第 1 期</x:v>
      </x:c>
      <x:c r="B5" s="13" t="str">
        <x:v>6. 平台、工程与上线</x:v>
      </x:c>
      <x:c r="C5" s="13" t="str">
        <x:v>ENG-BE</x:v>
      </x:c>
      <x:c r="D5" s="13" t="str">
        <x:v>后端工程与共享契约</x:v>
      </x:c>
      <x:c r="E5" s="13" t="str">
        <x:v>BE-BASE-02</x:v>
      </x:c>
      <x:c r="F5" s="13" t="str">
        <x:v>后端</x:v>
      </x:c>
      <x:c r="G5" s="13" t="str">
        <x:v>建立Worker服务入口</x:v>
      </x:c>
      <x:c r="H5" s="13" t="str">
        <x:v>SQS handler和依赖装配</x:v>
      </x:c>
      <x:c r="I5" s="13" t="str">
        <x:v>批次失败按messageId返回</x:v>
      </x:c>
      <x:c r="J5" s="13" t="str">
        <x:v>—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配置/Skill/模型/部署版本；provider request ID；环境标识</x:v>
      </x:c>
      <x:c r="O5" s="13" t="str">
        <x:v>服务health；配置启停；队列queued/processing/DLQ</x:v>
      </x:c>
      <x:c r="P5" s="13" t="str">
        <x:v>配置缺失、密钥无效、限流、部署失败、队列积压、重复定时任务</x:v>
      </x:c>
      <x:c r="Q5" s="13" t="str">
        <x:v>环境隔离、最小权限、生产审计、日志脱敏</x:v>
      </x:c>
      <x:c r="R5" s="13" t="str">
        <x:v>部署可回滚；Worker/清理任务可重入；密钥不入库不导出</x:v>
      </x:c>
    </x:row>
    <x:row r="6" ht="68" customHeight="1">
      <x:c r="A6" s="13" t="str">
        <x:v>第 1 期</x:v>
      </x:c>
      <x:c r="B6" s="13" t="str">
        <x:v>6. 平台、工程与上线</x:v>
      </x:c>
      <x:c r="C6" s="13" t="str">
        <x:v>ENG-BE</x:v>
      </x:c>
      <x:c r="D6" s="13" t="str">
        <x:v>后端工程与共享契约</x:v>
      </x:c>
      <x:c r="E6" s="13" t="str">
        <x:v>BE-BASE-03</x:v>
      </x:c>
      <x:c r="F6" s="13" t="str">
        <x:v>后端</x:v>
      </x:c>
      <x:c r="G6" s="13" t="str">
        <x:v>建立共享v2 Schema</x:v>
      </x:c>
      <x:c r="H6" s="13" t="str">
        <x:v>请求、响应、队列消息、错误码</x:v>
      </x:c>
      <x:c r="I6" s="13" t="str">
        <x:v>前后端和Worker引用同一类型</x:v>
      </x:c>
      <x:c r="J6" s="13" t="str">
        <x:v>—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配置/Skill/模型/部署版本；provider request ID；环境标识</x:v>
      </x:c>
      <x:c r="O6" s="13" t="str">
        <x:v>服务health；配置启停；队列queued/processing/DLQ</x:v>
      </x:c>
      <x:c r="P6" s="13" t="str">
        <x:v>配置缺失、密钥无效、限流、部署失败、队列积压、重复定时任务</x:v>
      </x:c>
      <x:c r="Q6" s="13" t="str">
        <x:v>环境隔离、最小权限、生产审计、日志脱敏</x:v>
      </x:c>
      <x:c r="R6" s="13" t="str">
        <x:v>部署可回滚；Worker/清理任务可重入；密钥不入库不导出</x:v>
      </x:c>
    </x:row>
    <x:row r="7" ht="68" customHeight="1">
      <x:c r="A7" s="13" t="str">
        <x:v>第 1 期</x:v>
      </x:c>
      <x:c r="B7" s="13" t="str">
        <x:v>6. 平台、工程与上线</x:v>
      </x:c>
      <x:c r="C7" s="13" t="str">
        <x:v>ENG-BE</x:v>
      </x:c>
      <x:c r="D7" s="13" t="str">
        <x:v>后端工程与共享契约</x:v>
      </x:c>
      <x:c r="E7" s="13" t="str">
        <x:v>BE-BASE-04</x:v>
      </x:c>
      <x:c r="F7" s="13" t="str">
        <x:v>后端</x:v>
      </x:c>
      <x:c r="G7" s="13" t="str">
        <x:v>建立质量命令</x:v>
      </x:c>
      <x:c r="H7" s="13" t="str">
        <x:v>typecheck和test工作区命令</x:v>
      </x:c>
      <x:c r="I7" s="13" t="str">
        <x:v>所有工作区通过</x:v>
      </x:c>
      <x:c r="J7" s="13" t="str">
        <x:v>—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配置/Skill/模型/部署版本；provider request ID；环境标识</x:v>
      </x:c>
      <x:c r="O7" s="13" t="str">
        <x:v>服务health；配置启停；队列queued/processing/DLQ</x:v>
      </x:c>
      <x:c r="P7" s="13" t="str">
        <x:v>配置缺失、密钥无效、限流、部署失败、队列积压、重复定时任务</x:v>
      </x:c>
      <x:c r="Q7" s="13" t="str">
        <x:v>环境隔离、最小权限、生产审计、日志脱敏</x:v>
      </x:c>
      <x:c r="R7" s="13" t="str">
        <x:v>部署可回滚；Worker/清理任务可重入；密钥不入库不导出</x:v>
      </x:c>
    </x:row>
    <x:row r="8" ht="68" customHeight="1">
      <x:c r="A8" s="13" t="str">
        <x:v>第 1 期</x:v>
      </x:c>
      <x:c r="B8" s="13" t="str">
        <x:v>1. 用户、登录与账户</x:v>
      </x:c>
      <x:c r="C8" s="13" t="str">
        <x:v>AUTH-001/003/006/007</x:v>
      </x:c>
      <x:c r="D8" s="13" t="str">
        <x:v>认证接口</x:v>
      </x:c>
      <x:c r="E8" s="13" t="str">
        <x:v>BE-AUTH-01</x:v>
      </x:c>
      <x:c r="F8" s="13" t="str">
        <x:v>后端</x:v>
      </x:c>
      <x:c r="G8" s="13" t="str">
        <x:v>定义认证接口请求响应契约</x:v>
      </x:c>
      <x:c r="H8" s="13" t="str">
        <x:v>共享Schema、类型和示例</x:v>
      </x:c>
      <x:c r="I8" s="13" t="str">
        <x:v>合法与非法样例可被自动校验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user_id(UUID)；删除申请ID；数据导出ID；邮箱仅作登录标识</x:v>
      </x:c>
      <x:c r="O8" s="13" t="str">
        <x:v>unverified/active/deletion_pending/deleted；导出queued/processing/ready/failed/expired</x:v>
      </x:c>
      <x:c r="P8" s="13" t="str">
        <x:v>重复注册、会话过期、未验证、活动任务阻止删除、导出过期</x:v>
      </x:c>
      <x:c r="Q8" s="13" t="str">
        <x:v>仅本人访问；高风险操作重新认证；Service Role仅后端</x:v>
      </x:c>
      <x:c r="R8" s="13" t="str">
        <x:v>账户初始化/赠点/删除/导出均幂等；删除宽限30天；导出24小时</x:v>
      </x:c>
    </x:row>
    <x:row r="9" ht="68" customHeight="1">
      <x:c r="A9" s="13" t="str">
        <x:v>第 1 期</x:v>
      </x:c>
      <x:c r="B9" s="13" t="str">
        <x:v>1. 用户、登录与账户</x:v>
      </x:c>
      <x:c r="C9" s="13" t="str">
        <x:v>AUTH-001/003/006/007</x:v>
      </x:c>
      <x:c r="D9" s="13" t="str">
        <x:v>认证接口</x:v>
      </x:c>
      <x:c r="E9" s="13" t="str">
        <x:v>BE-AUTH-02</x:v>
      </x:c>
      <x:c r="F9" s="13" t="str">
        <x:v>后端</x:v>
      </x:c>
      <x:c r="G9" s="13" t="str">
        <x:v>实现认证接口输入校验</x:v>
      </x:c>
      <x:c r="H9" s="13" t="str">
        <x:v>边界校验与字段规范化</x:v>
      </x:c>
      <x:c r="I9" s="13" t="str">
        <x:v>非法输入在副作用前返回稳定400错误</x:v>
      </x:c>
      <x:c r="J9" s="13" t="str">
        <x:v>BE-AUTH-01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user_id(UUID)；删除申请ID；数据导出ID；邮箱仅作登录标识</x:v>
      </x:c>
      <x:c r="O9" s="13" t="str">
        <x:v>unverified/active/deletion_pending/deleted；导出queued/processing/ready/failed/expired</x:v>
      </x:c>
      <x:c r="P9" s="13" t="str">
        <x:v>重复注册、会话过期、未验证、活动任务阻止删除、导出过期</x:v>
      </x:c>
      <x:c r="Q9" s="13" t="str">
        <x:v>仅本人访问；高风险操作重新认证；Service Role仅后端</x:v>
      </x:c>
      <x:c r="R9" s="13" t="str">
        <x:v>账户初始化/赠点/删除/导出均幂等；删除宽限30天；导出24小时</x:v>
      </x:c>
    </x:row>
    <x:row r="10" ht="68" customHeight="1">
      <x:c r="A10" s="13" t="str">
        <x:v>第 1 期</x:v>
      </x:c>
      <x:c r="B10" s="13" t="str">
        <x:v>1. 用户、登录与账户</x:v>
      </x:c>
      <x:c r="C10" s="13" t="str">
        <x:v>AUTH-001/003/006/007</x:v>
      </x:c>
      <x:c r="D10" s="13" t="str">
        <x:v>认证接口</x:v>
      </x:c>
      <x:c r="E10" s="13" t="str">
        <x:v>BE-AUTH-03</x:v>
      </x:c>
      <x:c r="F10" s="13" t="str">
        <x:v>后端</x:v>
      </x:c>
      <x:c r="G10" s="13" t="str">
        <x:v>实现认证接口身份与权限校验</x:v>
      </x:c>
      <x:c r="H10" s="13" t="str">
        <x:v>服务端鉴权和所有权检查</x:v>
      </x:c>
      <x:c r="I10" s="13" t="str">
        <x:v>未登录401；越权按规则403或404</x:v>
      </x:c>
      <x:c r="J10" s="13" t="str">
        <x:v>BE-AUTH-01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user_id(UUID)；删除申请ID；数据导出ID；邮箱仅作登录标识</x:v>
      </x:c>
      <x:c r="O10" s="13" t="str">
        <x:v>unverified/active/deletion_pending/deleted；导出queued/processing/ready/failed/expired</x:v>
      </x:c>
      <x:c r="P10" s="13" t="str">
        <x:v>重复注册、会话过期、未验证、活动任务阻止删除、导出过期</x:v>
      </x:c>
      <x:c r="Q10" s="13" t="str">
        <x:v>仅本人访问；高风险操作重新认证；Service Role仅后端</x:v>
      </x:c>
      <x:c r="R10" s="13" t="str">
        <x:v>账户初始化/赠点/删除/导出均幂等；删除宽限30天；导出24小时</x:v>
      </x:c>
    </x:row>
    <x:row r="11" ht="68" customHeight="1">
      <x:c r="A11" s="13" t="str">
        <x:v>第 1 期</x:v>
      </x:c>
      <x:c r="B11" s="13" t="str">
        <x:v>1. 用户、登录与账户</x:v>
      </x:c>
      <x:c r="C11" s="13" t="str">
        <x:v>AUTH-001/003/006/007</x:v>
      </x:c>
      <x:c r="D11" s="13" t="str">
        <x:v>认证接口</x:v>
      </x:c>
      <x:c r="E11" s="13" t="str">
        <x:v>BE-AUTH-04</x:v>
      </x:c>
      <x:c r="F11" s="13" t="str">
        <x:v>后端</x:v>
      </x:c>
      <x:c r="G11" s="13" t="str">
        <x:v>实现邮箱注册代理</x:v>
      </x:c>
      <x:c r="H11" s="13" t="str">
        <x:v>Supabase signUp调用</x:v>
      </x:c>
      <x:c r="I11" s="13" t="str">
        <x:v>邮件验证开启且不泄露Service Role</x:v>
      </x:c>
      <x:c r="J11" s="13" t="str">
        <x:v>—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user_id(UUID)；删除申请ID；数据导出ID；邮箱仅作登录标识</x:v>
      </x:c>
      <x:c r="O11" s="13" t="str">
        <x:v>unverified/active/deletion_pending/deleted；导出queued/processing/ready/failed/expired</x:v>
      </x:c>
      <x:c r="P11" s="13" t="str">
        <x:v>重复注册、会话过期、未验证、活动任务阻止删除、导出过期</x:v>
      </x:c>
      <x:c r="Q11" s="13" t="str">
        <x:v>仅本人访问；高风险操作重新认证；Service Role仅后端</x:v>
      </x:c>
      <x:c r="R11" s="13" t="str">
        <x:v>账户初始化/赠点/删除/导出均幂等；删除宽限30天；导出24小时</x:v>
      </x:c>
    </x:row>
    <x:row r="12" ht="68" customHeight="1">
      <x:c r="A12" s="13" t="str">
        <x:v>第 1 期</x:v>
      </x:c>
      <x:c r="B12" s="13" t="str">
        <x:v>1. 用户、登录与账户</x:v>
      </x:c>
      <x:c r="C12" s="13" t="str">
        <x:v>AUTH-001/003/006/007</x:v>
      </x:c>
      <x:c r="D12" s="13" t="str">
        <x:v>认证接口</x:v>
      </x:c>
      <x:c r="E12" s="13" t="str">
        <x:v>BE-AUTH-05</x:v>
      </x:c>
      <x:c r="F12" s="13" t="str">
        <x:v>后端</x:v>
      </x:c>
      <x:c r="G12" s="13" t="str">
        <x:v>实现邮箱密码登录</x:v>
      </x:c>
      <x:c r="H12" s="13" t="str">
        <x:v>Cookie会话建立</x:v>
      </x:c>
      <x:c r="I12" s="13" t="str">
        <x:v>错误不暴露账户是否存在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2026-08-20</x:v>
      </x:c>
      <x:c r="N12" s="13" t="str">
        <x:v>user_id(UUID)；删除申请ID；数据导出ID；邮箱仅作登录标识</x:v>
      </x:c>
      <x:c r="O12" s="13" t="str">
        <x:v>unverified/active/deletion_pending/deleted；导出queued/processing/ready/failed/expired</x:v>
      </x:c>
      <x:c r="P12" s="13" t="str">
        <x:v>重复注册、会话过期、未验证、活动任务阻止删除、导出过期</x:v>
      </x:c>
      <x:c r="Q12" s="13" t="str">
        <x:v>仅本人访问；高风险操作重新认证；Service Role仅后端</x:v>
      </x:c>
      <x:c r="R12" s="13" t="str">
        <x:v>账户初始化/赠点/删除/导出均幂等；删除宽限30天；导出24小时</x:v>
      </x:c>
    </x:row>
    <x:row r="13" ht="68" customHeight="1">
      <x:c r="A13" s="13" t="str">
        <x:v>第 1 期</x:v>
      </x:c>
      <x:c r="B13" s="13" t="str">
        <x:v>1. 用户、登录与账户</x:v>
      </x:c>
      <x:c r="C13" s="13" t="str">
        <x:v>AUTH-001/003/006/007</x:v>
      </x:c>
      <x:c r="D13" s="13" t="str">
        <x:v>认证接口</x:v>
      </x:c>
      <x:c r="E13" s="13" t="str">
        <x:v>BE-AUTH-06</x:v>
      </x:c>
      <x:c r="F13" s="13" t="str">
        <x:v>后端</x:v>
      </x:c>
      <x:c r="G13" s="13" t="str">
        <x:v>实现退出登录</x:v>
      </x:c>
      <x:c r="H13" s="13" t="str">
        <x:v>撤销当前会话Cookie</x:v>
      </x:c>
      <x:c r="I13" s="13" t="str">
        <x:v>退出后受保护API拒绝访问</x:v>
      </x:c>
      <x:c r="J13" s="13" t="str">
        <x:v>—</x:v>
      </x:c>
      <x:c r="K13" s="13" t="str">
        <x:v>已完成</x:v>
      </x:c>
      <x:c r="L13" s="13" t="str">
        <x:v>08-20</x:v>
      </x:c>
      <x:c r="M13" s="13" t="str">
        <x:v>2026-08-20</x:v>
      </x:c>
      <x:c r="N13" s="13" t="str">
        <x:v>user_id(UUID)；删除申请ID；数据导出ID；邮箱仅作登录标识</x:v>
      </x:c>
      <x:c r="O13" s="13" t="str">
        <x:v>unverified/active/deletion_pending/deleted；导出queued/processing/ready/failed/expired</x:v>
      </x:c>
      <x:c r="P13" s="13" t="str">
        <x:v>重复注册、会话过期、未验证、活动任务阻止删除、导出过期</x:v>
      </x:c>
      <x:c r="Q13" s="13" t="str">
        <x:v>仅本人访问；高风险操作重新认证；Service Role仅后端</x:v>
      </x:c>
      <x:c r="R13" s="13" t="str">
        <x:v>账户初始化/赠点/删除/导出均幂等；删除宽限30天；导出24小时</x:v>
      </x:c>
    </x:row>
    <x:row r="14" ht="68" customHeight="1">
      <x:c r="A14" s="13" t="str">
        <x:v>第 1 期</x:v>
      </x:c>
      <x:c r="B14" s="13" t="str">
        <x:v>1. 用户、登录与账户</x:v>
      </x:c>
      <x:c r="C14" s="13" t="str">
        <x:v>AUTH-001/003/006/007</x:v>
      </x:c>
      <x:c r="D14" s="13" t="str">
        <x:v>认证接口</x:v>
      </x:c>
      <x:c r="E14" s="13" t="str">
        <x:v>BE-AUTH-07</x:v>
      </x:c>
      <x:c r="F14" s="13" t="str">
        <x:v>后端</x:v>
      </x:c>
      <x:c r="G14" s="13" t="str">
        <x:v>实现忘记密码</x:v>
      </x:c>
      <x:c r="H14" s="13" t="str">
        <x:v>发送恢复邮件</x:v>
      </x:c>
      <x:c r="I14" s="13" t="str">
        <x:v>响应避免账户枚举</x:v>
      </x:c>
      <x:c r="J14" s="13" t="str">
        <x:v>—</x:v>
      </x:c>
      <x:c r="K14" s="13" t="str">
        <x:v>已完成</x:v>
      </x:c>
      <x:c r="L14" s="13" t="str">
        <x:v>08-20</x:v>
      </x:c>
      <x:c r="M14" s="13" t="str">
        <x:v>2026-08-20</x:v>
      </x:c>
      <x:c r="N14" s="13" t="str">
        <x:v>user_id(UUID)；删除申请ID；数据导出ID；邮箱仅作登录标识</x:v>
      </x:c>
      <x:c r="O14" s="13" t="str">
        <x:v>unverified/active/deletion_pending/deleted；导出queued/processing/ready/failed/expired</x:v>
      </x:c>
      <x:c r="P14" s="13" t="str">
        <x:v>重复注册、会话过期、未验证、活动任务阻止删除、导出过期</x:v>
      </x:c>
      <x:c r="Q14" s="13" t="str">
        <x:v>仅本人访问；高风险操作重新认证；Service Role仅后端</x:v>
      </x:c>
      <x:c r="R14" s="13" t="str">
        <x:v>账户初始化/赠点/删除/导出均幂等；删除宽限30天；导出24小时</x:v>
      </x:c>
    </x:row>
    <x:row r="15" ht="68" customHeight="1">
      <x:c r="A15" s="13" t="str">
        <x:v>第 1 期</x:v>
      </x:c>
      <x:c r="B15" s="13" t="str">
        <x:v>1. 用户、登录与账户</x:v>
      </x:c>
      <x:c r="C15" s="13" t="str">
        <x:v>AUTH-001/003/006/007</x:v>
      </x:c>
      <x:c r="D15" s="13" t="str">
        <x:v>认证接口</x:v>
      </x:c>
      <x:c r="E15" s="13" t="str">
        <x:v>BE-AUTH-08</x:v>
      </x:c>
      <x:c r="F15" s="13" t="str">
        <x:v>后端</x:v>
      </x:c>
      <x:c r="G15" s="13" t="str">
        <x:v>实现重置密码</x:v>
      </x:c>
      <x:c r="H15" s="13" t="str">
        <x:v>校验恢复会话并更新密码</x:v>
      </x:c>
      <x:c r="I15" s="13" t="str">
        <x:v>成功后旧恢复令牌不可复用</x:v>
      </x:c>
      <x:c r="J15" s="13" t="str">
        <x:v>—</x:v>
      </x:c>
      <x:c r="K15" s="13" t="str">
        <x:v>已完成</x:v>
      </x:c>
      <x:c r="L15" s="13" t="str">
        <x:v>08-20</x:v>
      </x:c>
      <x:c r="M15" s="13" t="str">
        <x:v>2026-08-20</x:v>
      </x:c>
      <x:c r="N15" s="13" t="str">
        <x:v>user_id(UUID)；删除申请ID；数据导出ID；邮箱仅作登录标识</x:v>
      </x:c>
      <x:c r="O15" s="13" t="str">
        <x:v>unverified/active/deletion_pending/deleted；导出queued/processing/ready/failed/expired</x:v>
      </x:c>
      <x:c r="P15" s="13" t="str">
        <x:v>重复注册、会话过期、未验证、活动任务阻止删除、导出过期</x:v>
      </x:c>
      <x:c r="Q15" s="13" t="str">
        <x:v>仅本人访问；高风险操作重新认证；Service Role仅后端</x:v>
      </x:c>
      <x:c r="R15" s="13" t="str">
        <x:v>账户初始化/赠点/删除/导出均幂等；删除宽限30天；导出24小时</x:v>
      </x:c>
    </x:row>
    <x:row r="16" ht="68" customHeight="1">
      <x:c r="A16" s="13" t="str">
        <x:v>第 1 期</x:v>
      </x:c>
      <x:c r="B16" s="13" t="str">
        <x:v>1. 用户、登录与账户</x:v>
      </x:c>
      <x:c r="C16" s="13" t="str">
        <x:v>AUTH-001/003/006/007</x:v>
      </x:c>
      <x:c r="D16" s="13" t="str">
        <x:v>认证接口</x:v>
      </x:c>
      <x:c r="E16" s="13" t="str">
        <x:v>BE-AUTH-09</x:v>
      </x:c>
      <x:c r="F16" s="13" t="str">
        <x:v>后端</x:v>
      </x:c>
      <x:c r="G16" s="13" t="str">
        <x:v>定义认证接口稳定错误码</x:v>
      </x:c>
      <x:c r="H16" s="13" t="str">
        <x:v>错误枚举和HTTP映射</x:v>
      </x:c>
      <x:c r="I16" s="13" t="str">
        <x:v>前端无需解析内部错误正文</x:v>
      </x:c>
      <x:c r="J16" s="13" t="str">
        <x:v>BE-AUTH-02</x:v>
      </x:c>
      <x:c r="K16" s="13" t="str">
        <x:v>已完成</x:v>
      </x:c>
      <x:c r="L16" s="13" t="str">
        <x:v>08-20</x:v>
      </x:c>
      <x:c r="M16" s="13" t="str">
        <x:v>2026-08-20</x:v>
      </x:c>
      <x:c r="N16" s="13" t="str">
        <x:v>user_id(UUID)；删除申请ID；数据导出ID；邮箱仅作登录标识</x:v>
      </x:c>
      <x:c r="O16" s="13" t="str">
        <x:v>unverified/active/deletion_pending/deleted；导出queued/processing/ready/failed/expired</x:v>
      </x:c>
      <x:c r="P16" s="13" t="str">
        <x:v>重复注册、会话过期、未验证、活动任务阻止删除、导出过期</x:v>
      </x:c>
      <x:c r="Q16" s="13" t="str">
        <x:v>仅本人访问；高风险操作重新认证；Service Role仅后端</x:v>
      </x:c>
      <x:c r="R16" s="13" t="str">
        <x:v>账户初始化/赠点/删除/导出均幂等；删除宽限30天；导出24小时</x:v>
      </x:c>
    </x:row>
    <x:row r="17" ht="68" customHeight="1">
      <x:c r="A17" s="13" t="str">
        <x:v>第 1 期</x:v>
      </x:c>
      <x:c r="B17" s="13" t="str">
        <x:v>1. 用户、登录与账户</x:v>
      </x:c>
      <x:c r="C17" s="13" t="str">
        <x:v>AUTH-001/003/006/007</x:v>
      </x:c>
      <x:c r="D17" s="13" t="str">
        <x:v>认证接口</x:v>
      </x:c>
      <x:c r="E17" s="13" t="str">
        <x:v>BE-AUTH-10</x:v>
      </x:c>
      <x:c r="F17" s="13" t="str">
        <x:v>后端</x:v>
      </x:c>
      <x:c r="G17" s="13" t="str">
        <x:v>编写认证接口单元与集成测试</x:v>
      </x:c>
      <x:c r="H17" s="13" t="str">
        <x:v>成功/失败/重复/越权测试</x:v>
      </x:c>
      <x:c r="I17" s="13" t="str">
        <x:v>测试可重复运行且数据库副作用可核对</x:v>
      </x:c>
      <x:c r="J17" s="13" t="str">
        <x:v>—</x:v>
      </x:c>
      <x:c r="K17" s="13" t="str">
        <x:v>已完成</x:v>
      </x:c>
      <x:c r="L17" s="13" t="str">
        <x:v>08-20</x:v>
      </x:c>
      <x:c r="M17" s="13" t="str">
        <x:v>2026-08-20</x:v>
      </x:c>
      <x:c r="N17" s="13" t="str">
        <x:v>user_id(UUID)；删除申请ID；数据导出ID；邮箱仅作登录标识</x:v>
      </x:c>
      <x:c r="O17" s="13" t="str">
        <x:v>unverified/active/deletion_pending/deleted；导出queued/processing/ready/failed/expired</x:v>
      </x:c>
      <x:c r="P17" s="13" t="str">
        <x:v>重复注册、会话过期、未验证、活动任务阻止删除、导出过期</x:v>
      </x:c>
      <x:c r="Q17" s="13" t="str">
        <x:v>仅本人访问；高风险操作重新认证；Service Role仅后端</x:v>
      </x:c>
      <x:c r="R17" s="13" t="str">
        <x:v>账户初始化/赠点/删除/导出均幂等；删除宽限30天；导出24小时</x:v>
      </x:c>
    </x:row>
    <x:row r="18" ht="68" customHeight="1">
      <x:c r="A18" s="13" t="str">
        <x:v>第 1 期</x:v>
      </x:c>
      <x:c r="B18" s="13" t="str">
        <x:v>1. 用户、登录与账户</x:v>
      </x:c>
      <x:c r="C18" s="13" t="str">
        <x:v>AUTH-001/003/006/007</x:v>
      </x:c>
      <x:c r="D18" s="13" t="str">
        <x:v>认证接口</x:v>
      </x:c>
      <x:c r="E18" s="13" t="str">
        <x:v>BE-AUTH-11</x:v>
      </x:c>
      <x:c r="F18" s="13" t="str">
        <x:v>后端</x:v>
      </x:c>
      <x:c r="G18" s="13" t="str">
        <x:v>更新认证接口接口文档</x:v>
      </x:c>
      <x:c r="H18" s="13" t="str">
        <x:v>请求、响应、错误、鉴权和示例</x:v>
      </x:c>
      <x:c r="I18" s="13" t="str">
        <x:v>前端可仅依据文档完成联调</x:v>
      </x:c>
      <x:c r="J18" s="13" t="str">
        <x:v>—</x:v>
      </x:c>
      <x:c r="K18" s="13" t="str">
        <x:v>已完成</x:v>
      </x:c>
      <x:c r="L18" s="13" t="str">
        <x:v>08-20</x:v>
      </x:c>
      <x:c r="M18" s="13" t="str">
        <x:v>2026-08-20</x:v>
      </x:c>
      <x:c r="N18" s="13" t="str">
        <x:v>user_id(UUID)；删除申请ID；数据导出ID；邮箱仅作登录标识</x:v>
      </x:c>
      <x:c r="O18" s="13" t="str">
        <x:v>unverified/active/deletion_pending/deleted；导出queued/processing/ready/failed/expired</x:v>
      </x:c>
      <x:c r="P18" s="13" t="str">
        <x:v>重复注册、会话过期、未验证、活动任务阻止删除、导出过期</x:v>
      </x:c>
      <x:c r="Q18" s="13" t="str">
        <x:v>仅本人访问；高风险操作重新认证；Service Role仅后端</x:v>
      </x:c>
      <x:c r="R18" s="13" t="str">
        <x:v>账户初始化/赠点/删除/导出均幂等；删除宽限30天；导出24小时</x:v>
      </x:c>
    </x:row>
    <x:row r="19" ht="68" customHeight="1">
      <x:c r="A19" s="13" t="str">
        <x:v>第 1 期</x:v>
      </x:c>
      <x:c r="B19" s="13" t="str">
        <x:v>1. 用户、登录与账户</x:v>
      </x:c>
      <x:c r="C19" s="13" t="str">
        <x:v>USER-001/002</x:v>
      </x:c>
      <x:c r="D19" s="13" t="str">
        <x:v>账户资料API</x:v>
      </x:c>
      <x:c r="E19" s="13" t="str">
        <x:v>BE-ACCOUNT-01</x:v>
      </x:c>
      <x:c r="F19" s="13" t="str">
        <x:v>后端</x:v>
      </x:c>
      <x:c r="G19" s="13" t="str">
        <x:v>定义GET/PATCH /api/account请求响应契约</x:v>
      </x:c>
      <x:c r="H19" s="13" t="str">
        <x:v>共享Schema、类型和示例</x:v>
      </x:c>
      <x:c r="I19" s="13" t="str">
        <x:v>合法与非法样例可被自动校验</x:v>
      </x:c>
      <x:c r="J19" s="13" t="str">
        <x:v>—</x:v>
      </x:c>
      <x:c r="K19" s="13" t="str">
        <x:v>已完成</x:v>
      </x:c>
      <x:c r="L19" s="13" t="str">
        <x:v>08-20</x:v>
      </x:c>
      <x:c r="M19" s="13" t="str">
        <x:v>2026-08-20</x:v>
      </x:c>
      <x:c r="N19" s="13" t="str">
        <x:v>user_id(UUID)；删除申请ID；数据导出ID；邮箱仅作登录标识</x:v>
      </x:c>
      <x:c r="O19" s="13" t="str">
        <x:v>unverified/active/deletion_pending/deleted；导出queued/processing/ready/failed/expired</x:v>
      </x:c>
      <x:c r="P19" s="13" t="str">
        <x:v>重复注册、会话过期、未验证、活动任务阻止删除、导出过期</x:v>
      </x:c>
      <x:c r="Q19" s="13" t="str">
        <x:v>仅本人访问；高风险操作重新认证；Service Role仅后端</x:v>
      </x:c>
      <x:c r="R19" s="13" t="str">
        <x:v>账户初始化/赠点/删除/导出均幂等；删除宽限30天；导出24小时</x:v>
      </x:c>
    </x:row>
    <x:row r="20" ht="68" customHeight="1">
      <x:c r="A20" s="13" t="str">
        <x:v>第 1 期</x:v>
      </x:c>
      <x:c r="B20" s="13" t="str">
        <x:v>1. 用户、登录与账户</x:v>
      </x:c>
      <x:c r="C20" s="13" t="str">
        <x:v>USER-001/002</x:v>
      </x:c>
      <x:c r="D20" s="13" t="str">
        <x:v>账户资料API</x:v>
      </x:c>
      <x:c r="E20" s="13" t="str">
        <x:v>BE-ACCOUNT-02</x:v>
      </x:c>
      <x:c r="F20" s="13" t="str">
        <x:v>后端</x:v>
      </x:c>
      <x:c r="G20" s="13" t="str">
        <x:v>实现GET/PATCH /api/account输入校验</x:v>
      </x:c>
      <x:c r="H20" s="13" t="str">
        <x:v>边界校验与字段规范化</x:v>
      </x:c>
      <x:c r="I20" s="13" t="str">
        <x:v>非法输入在副作用前返回稳定400错误</x:v>
      </x:c>
      <x:c r="J20" s="13" t="str">
        <x:v>BE-ACCOUNT-01</x:v>
      </x:c>
      <x:c r="K20" s="13" t="str">
        <x:v>已完成</x:v>
      </x:c>
      <x:c r="L20" s="13" t="str">
        <x:v>08-20</x:v>
      </x:c>
      <x:c r="M20" s="13" t="str">
        <x:v>2026-08-20</x:v>
      </x:c>
      <x:c r="N20" s="13" t="str">
        <x:v>user_id(UUID)；删除申请ID；数据导出ID；邮箱仅作登录标识</x:v>
      </x:c>
      <x:c r="O20" s="13" t="str">
        <x:v>unverified/active/deletion_pending/deleted；导出queued/processing/ready/failed/expired</x:v>
      </x:c>
      <x:c r="P20" s="13" t="str">
        <x:v>重复注册、会话过期、未验证、活动任务阻止删除、导出过期</x:v>
      </x:c>
      <x:c r="Q20" s="13" t="str">
        <x:v>仅本人访问；高风险操作重新认证；Service Role仅后端</x:v>
      </x:c>
      <x:c r="R20" s="13" t="str">
        <x:v>账户初始化/赠点/删除/导出均幂等；删除宽限30天；导出24小时</x:v>
      </x:c>
    </x:row>
    <x:row r="21" ht="68" customHeight="1">
      <x:c r="A21" s="13" t="str">
        <x:v>第 1 期</x:v>
      </x:c>
      <x:c r="B21" s="13" t="str">
        <x:v>1. 用户、登录与账户</x:v>
      </x:c>
      <x:c r="C21" s="13" t="str">
        <x:v>USER-001/002</x:v>
      </x:c>
      <x:c r="D21" s="13" t="str">
        <x:v>账户资料API</x:v>
      </x:c>
      <x:c r="E21" s="13" t="str">
        <x:v>BE-ACCOUNT-03</x:v>
      </x:c>
      <x:c r="F21" s="13" t="str">
        <x:v>后端</x:v>
      </x:c>
      <x:c r="G21" s="13" t="str">
        <x:v>实现GET/PATCH /api/account身份与权限校验</x:v>
      </x:c>
      <x:c r="H21" s="13" t="str">
        <x:v>服务端鉴权和所有权检查</x:v>
      </x:c>
      <x:c r="I21" s="13" t="str">
        <x:v>未登录401；越权按规则403或404</x:v>
      </x:c>
      <x:c r="J21" s="13" t="str">
        <x:v>BE-ACCOUNT-01</x:v>
      </x:c>
      <x:c r="K21" s="13" t="str">
        <x:v>已完成</x:v>
      </x:c>
      <x:c r="L21" s="13" t="str">
        <x:v>08-20</x:v>
      </x:c>
      <x:c r="M21" s="13" t="str">
        <x:v>2026-08-20</x:v>
      </x:c>
      <x:c r="N21" s="13" t="str">
        <x:v>user_id(UUID)；删除申请ID；数据导出ID；邮箱仅作登录标识</x:v>
      </x:c>
      <x:c r="O21" s="13" t="str">
        <x:v>unverified/active/deletion_pending/deleted；导出queued/processing/ready/failed/expired</x:v>
      </x:c>
      <x:c r="P21" s="13" t="str">
        <x:v>重复注册、会话过期、未验证、活动任务阻止删除、导出过期</x:v>
      </x:c>
      <x:c r="Q21" s="13" t="str">
        <x:v>仅本人访问；高风险操作重新认证；Service Role仅后端</x:v>
      </x:c>
      <x:c r="R21" s="13" t="str">
        <x:v>账户初始化/赠点/删除/导出均幂等；删除宽限30天；导出24小时</x:v>
      </x:c>
    </x:row>
    <x:row r="22" ht="68" customHeight="1">
      <x:c r="A22" s="13" t="str">
        <x:v>第 1 期</x:v>
      </x:c>
      <x:c r="B22" s="13" t="str">
        <x:v>1. 用户、登录与账户</x:v>
      </x:c>
      <x:c r="C22" s="13" t="str">
        <x:v>USER-001/002</x:v>
      </x:c>
      <x:c r="D22" s="13" t="str">
        <x:v>账户资料API</x:v>
      </x:c>
      <x:c r="E22" s="13" t="str">
        <x:v>BE-ACCOUNT-04</x:v>
      </x:c>
      <x:c r="F22" s="13" t="str">
        <x:v>后端</x:v>
      </x:c>
      <x:c r="G22" s="13" t="str">
        <x:v>读取账户摘要</x:v>
      </x:c>
      <x:c r="H22" s="13" t="str">
        <x:v>profile+credit account聚合</x:v>
      </x:c>
      <x:c r="I22" s="13" t="str">
        <x:v>仅返回当前用户允许字段</x:v>
      </x:c>
      <x:c r="J22" s="13" t="str">
        <x:v>—</x:v>
      </x:c>
      <x:c r="K22" s="13" t="str">
        <x:v>已完成</x:v>
      </x:c>
      <x:c r="L22" s="13" t="str">
        <x:v>08-20</x:v>
      </x:c>
      <x:c r="M22" s="13" t="str">
        <x:v>2026-08-20</x:v>
      </x:c>
      <x:c r="N22" s="13" t="str">
        <x:v>user_id(UUID)；删除申请ID；数据导出ID；邮箱仅作登录标识</x:v>
      </x:c>
      <x:c r="O22" s="13" t="str">
        <x:v>unverified/active/deletion_pending/deleted；导出queued/processing/ready/failed/expired</x:v>
      </x:c>
      <x:c r="P22" s="13" t="str">
        <x:v>重复注册、会话过期、未验证、活动任务阻止删除、导出过期</x:v>
      </x:c>
      <x:c r="Q22" s="13" t="str">
        <x:v>仅本人访问；高风险操作重新认证；Service Role仅后端</x:v>
      </x:c>
      <x:c r="R22" s="13" t="str">
        <x:v>账户初始化/赠点/删除/导出均幂等；删除宽限30天；导出24小时</x:v>
      </x:c>
    </x:row>
    <x:row r="23" ht="68" customHeight="1">
      <x:c r="A23" s="13" t="str">
        <x:v>第 1 期</x:v>
      </x:c>
      <x:c r="B23" s="13" t="str">
        <x:v>1. 用户、登录与账户</x:v>
      </x:c>
      <x:c r="C23" s="13" t="str">
        <x:v>USER-001/002</x:v>
      </x:c>
      <x:c r="D23" s="13" t="str">
        <x:v>账户资料API</x:v>
      </x:c>
      <x:c r="E23" s="13" t="str">
        <x:v>BE-ACCOUNT-05</x:v>
      </x:c>
      <x:c r="F23" s="13" t="str">
        <x:v>后端</x:v>
      </x:c>
      <x:c r="G23" s="13" t="str">
        <x:v>更新昵称</x:v>
      </x:c>
      <x:c r="H23" s="13" t="str">
        <x:v>长度/空白规范化和持久化</x:v>
      </x:c>
      <x:c r="I23" s="13" t="str">
        <x:v>updated_at更新；邮箱不可通过此接口修改</x:v>
      </x:c>
      <x:c r="J23" s="13" t="str">
        <x:v>—</x:v>
      </x:c>
      <x:c r="K23" s="13" t="str">
        <x:v>已完成</x:v>
      </x:c>
      <x:c r="L23" s="13" t="str">
        <x:v>08-20</x:v>
      </x:c>
      <x:c r="M23" s="13" t="str">
        <x:v>2026-08-20</x:v>
      </x:c>
      <x:c r="N23" s="13" t="str">
        <x:v>user_id(UUID)；删除申请ID；数据导出ID；邮箱仅作登录标识</x:v>
      </x:c>
      <x:c r="O23" s="13" t="str">
        <x:v>unverified/active/deletion_pending/deleted；导出queued/processing/ready/failed/expired</x:v>
      </x:c>
      <x:c r="P23" s="13" t="str">
        <x:v>重复注册、会话过期、未验证、活动任务阻止删除、导出过期</x:v>
      </x:c>
      <x:c r="Q23" s="13" t="str">
        <x:v>仅本人访问；高风险操作重新认证；Service Role仅后端</x:v>
      </x:c>
      <x:c r="R23" s="13" t="str">
        <x:v>账户初始化/赠点/删除/导出均幂等；删除宽限30天；导出24小时</x:v>
      </x:c>
    </x:row>
    <x:row r="24" ht="68" customHeight="1">
      <x:c r="A24" s="13" t="str">
        <x:v>第 1 期</x:v>
      </x:c>
      <x:c r="B24" s="13" t="str">
        <x:v>1. 用户、登录与账户</x:v>
      </x:c>
      <x:c r="C24" s="13" t="str">
        <x:v>USER-001/002</x:v>
      </x:c>
      <x:c r="D24" s="13" t="str">
        <x:v>账户资料API</x:v>
      </x:c>
      <x:c r="E24" s="13" t="str">
        <x:v>BE-ACCOUNT-06</x:v>
      </x:c>
      <x:c r="F24" s="13" t="str">
        <x:v>后端</x:v>
      </x:c>
      <x:c r="G24" s="13" t="str">
        <x:v>定义GET/PATCH /api/account稳定错误码</x:v>
      </x:c>
      <x:c r="H24" s="13" t="str">
        <x:v>错误枚举和HTTP映射</x:v>
      </x:c>
      <x:c r="I24" s="13" t="str">
        <x:v>前端无需解析内部错误正文</x:v>
      </x:c>
      <x:c r="J24" s="13" t="str">
        <x:v>BE-ACCOUNT-02</x:v>
      </x:c>
      <x:c r="K24" s="13" t="str">
        <x:v>已完成</x:v>
      </x:c>
      <x:c r="L24" s="13" t="str">
        <x:v>08-20</x:v>
      </x:c>
      <x:c r="M24" s="13" t="str">
        <x:v>2026-08-20</x:v>
      </x:c>
      <x:c r="N24" s="13" t="str">
        <x:v>user_id(UUID)；删除申请ID；数据导出ID；邮箱仅作登录标识</x:v>
      </x:c>
      <x:c r="O24" s="13" t="str">
        <x:v>unverified/active/deletion_pending/deleted；导出queued/processing/ready/failed/expired</x:v>
      </x:c>
      <x:c r="P24" s="13" t="str">
        <x:v>重复注册、会话过期、未验证、活动任务阻止删除、导出过期</x:v>
      </x:c>
      <x:c r="Q24" s="13" t="str">
        <x:v>仅本人访问；高风险操作重新认证；Service Role仅后端</x:v>
      </x:c>
      <x:c r="R24" s="13" t="str">
        <x:v>账户初始化/赠点/删除/导出均幂等；删除宽限30天；导出24小时</x:v>
      </x:c>
    </x:row>
    <x:row r="25" ht="68" customHeight="1">
      <x:c r="A25" s="13" t="str">
        <x:v>第 1 期</x:v>
      </x:c>
      <x:c r="B25" s="13" t="str">
        <x:v>1. 用户、登录与账户</x:v>
      </x:c>
      <x:c r="C25" s="13" t="str">
        <x:v>USER-001/002</x:v>
      </x:c>
      <x:c r="D25" s="13" t="str">
        <x:v>账户资料API</x:v>
      </x:c>
      <x:c r="E25" s="13" t="str">
        <x:v>BE-ACCOUNT-07</x:v>
      </x:c>
      <x:c r="F25" s="13" t="str">
        <x:v>后端</x:v>
      </x:c>
      <x:c r="G25" s="13" t="str">
        <x:v>编写GET/PATCH /api/account单元与集成测试</x:v>
      </x:c>
      <x:c r="H25" s="13" t="str">
        <x:v>成功/失败/重复/越权测试</x:v>
      </x:c>
      <x:c r="I25" s="13" t="str">
        <x:v>测试可重复运行且数据库副作用可核对</x:v>
      </x:c>
      <x:c r="J25" s="13" t="str">
        <x:v>—</x:v>
      </x:c>
      <x:c r="K25" s="13" t="str">
        <x:v>已完成</x:v>
      </x:c>
      <x:c r="L25" s="13" t="str">
        <x:v>08-20</x:v>
      </x:c>
      <x:c r="M25" s="13" t="str">
        <x:v>2026-08-20</x:v>
      </x:c>
      <x:c r="N25" s="13" t="str">
        <x:v>user_id(UUID)；删除申请ID；数据导出ID；邮箱仅作登录标识</x:v>
      </x:c>
      <x:c r="O25" s="13" t="str">
        <x:v>unverified/active/deletion_pending/deleted；导出queued/processing/ready/failed/expired</x:v>
      </x:c>
      <x:c r="P25" s="13" t="str">
        <x:v>重复注册、会话过期、未验证、活动任务阻止删除、导出过期</x:v>
      </x:c>
      <x:c r="Q25" s="13" t="str">
        <x:v>仅本人访问；高风险操作重新认证；Service Role仅后端</x:v>
      </x:c>
      <x:c r="R25" s="13" t="str">
        <x:v>账户初始化/赠点/删除/导出均幂等；删除宽限30天；导出24小时</x:v>
      </x:c>
    </x:row>
    <x:row r="26" ht="68" customHeight="1">
      <x:c r="A26" s="13" t="str">
        <x:v>第 1 期</x:v>
      </x:c>
      <x:c r="B26" s="13" t="str">
        <x:v>1. 用户、登录与账户</x:v>
      </x:c>
      <x:c r="C26" s="13" t="str">
        <x:v>USER-001/002</x:v>
      </x:c>
      <x:c r="D26" s="13" t="str">
        <x:v>账户资料API</x:v>
      </x:c>
      <x:c r="E26" s="13" t="str">
        <x:v>BE-ACCOUNT-08</x:v>
      </x:c>
      <x:c r="F26" s="13" t="str">
        <x:v>后端</x:v>
      </x:c>
      <x:c r="G26" s="13" t="str">
        <x:v>更新GET/PATCH /api/account接口文档</x:v>
      </x:c>
      <x:c r="H26" s="13" t="str">
        <x:v>请求、响应、错误、鉴权和示例</x:v>
      </x:c>
      <x:c r="I26" s="13" t="str">
        <x:v>前端可仅依据文档完成联调</x:v>
      </x:c>
      <x:c r="J26" s="13" t="str">
        <x:v>—</x:v>
      </x:c>
      <x:c r="K26" s="13" t="str">
        <x:v>已完成</x:v>
      </x:c>
      <x:c r="L26" s="13" t="str">
        <x:v>08-20</x:v>
      </x:c>
      <x:c r="M26" s="13" t="str">
        <x:v>2026-08-20</x:v>
      </x:c>
      <x:c r="N26" s="13" t="str">
        <x:v>user_id(UUID)；删除申请ID；数据导出ID；邮箱仅作登录标识</x:v>
      </x:c>
      <x:c r="O26" s="13" t="str">
        <x:v>unverified/active/deletion_pending/deleted；导出queued/processing/ready/failed/expired</x:v>
      </x:c>
      <x:c r="P26" s="13" t="str">
        <x:v>重复注册、会话过期、未验证、活动任务阻止删除、导出过期</x:v>
      </x:c>
      <x:c r="Q26" s="13" t="str">
        <x:v>仅本人访问；高风险操作重新认证；Service Role仅后端</x:v>
      </x:c>
      <x:c r="R26" s="13" t="str">
        <x:v>账户初始化/赠点/删除/导出均幂等；删除宽限30天；导出24小时</x:v>
      </x:c>
    </x:row>
    <x:row r="27" ht="68" customHeight="1">
      <x:c r="A27" s="13" t="str">
        <x:v>第 1 期</x:v>
      </x:c>
      <x:c r="B27" s="13" t="str">
        <x:v>4. 点数与商业化</x:v>
      </x:c>
      <x:c r="C27" s="13" t="str">
        <x:v>USER-003A</x:v>
      </x:c>
      <x:c r="D27" s="13" t="str">
        <x:v>新用户6点</x:v>
      </x:c>
      <x:c r="E27" s="13" t="str">
        <x:v>BE-SIGNUP-BONUS-01</x:v>
      </x:c>
      <x:c r="F27" s="13" t="str">
        <x:v>后端</x:v>
      </x:c>
      <x:c r="G27" s="13" t="str">
        <x:v>扩展账本类型signup_bonus</x:v>
      </x:c>
      <x:c r="H27" s="13" t="str">
        <x:v>数据库枚举迁移</x:v>
      </x:c>
      <x:c r="I27" s="13" t="str">
        <x:v>迁移后历史类型不受影响</x:v>
      </x:c>
      <x:c r="J27" s="13" t="str">
        <x:v>—</x:v>
      </x:c>
      <x:c r="K27" s="13" t="str">
        <x:v>已完成</x:v>
      </x:c>
      <x:c r="L27" s="13" t="str">
        <x:v>08-21～08-22</x:v>
      </x:c>
      <x:c r="M27" s="13" t="str">
        <x:v>2026-08-20</x:v>
      </x:c>
      <x:c r="N27" s="13" t="str">
        <x:v>order UUID+后端业务订单号；ledger UUID；Stripe session/payment/event ID；价格版本</x:v>
      </x:c>
      <x:c r="O27" s="13" t="str">
        <x:v>order pending/paid/canceled/expired/failed/refunded；账本不可变</x:v>
      </x:c>
      <x:c r="P27" s="13" t="str">
        <x:v>套餐改价、重复点击、Checkout失败、Webhook重放/乱序/伪造、退款争议</x:v>
      </x:c>
      <x:c r="Q27" s="13" t="str">
        <x:v>用户只读本人订单/账本；仅验签Webhook入账；人工调点需授权</x:v>
      </x:c>
      <x:c r="R27" s="13" t="str">
        <x:v>下单键防重复；Event ID去重；订单行锁原子入账；订单/账本进入导出</x:v>
      </x:c>
    </x:row>
    <x:row r="28" ht="68" customHeight="1">
      <x:c r="A28" s="13" t="str">
        <x:v>第 1 期</x:v>
      </x:c>
      <x:c r="B28" s="13" t="str">
        <x:v>4. 点数与商业化</x:v>
      </x:c>
      <x:c r="C28" s="13" t="str">
        <x:v>USER-003A</x:v>
      </x:c>
      <x:c r="D28" s="13" t="str">
        <x:v>新用户6点</x:v>
      </x:c>
      <x:c r="E28" s="13" t="str">
        <x:v>BE-SIGNUP-BONUS-02</x:v>
      </x:c>
      <x:c r="F28" s="13" t="str">
        <x:v>后端</x:v>
      </x:c>
      <x:c r="G28" s="13" t="str">
        <x:v>定义赠送业务键</x:v>
      </x:c>
      <x:c r="H28" s="13" t="str">
        <x:v>signup-bonus:{userId}</x:v>
      </x:c>
      <x:c r="I28" s="13" t="str">
        <x:v>每用户全局唯一</x:v>
      </x:c>
      <x:c r="J28" s="13" t="str">
        <x:v>—</x:v>
      </x:c>
      <x:c r="K28" s="13" t="str">
        <x:v>已完成</x:v>
      </x:c>
      <x:c r="L28" s="13" t="str">
        <x:v>08-21～08-22</x:v>
      </x:c>
      <x:c r="M28" s="13" t="str">
        <x:v>2026-08-20</x:v>
      </x:c>
      <x:c r="N28" s="13" t="str">
        <x:v>order UUID+后端业务订单号；ledger UUID；Stripe session/payment/event ID；价格版本</x:v>
      </x:c>
      <x:c r="O28" s="13" t="str">
        <x:v>order pending/paid/canceled/expired/failed/refunded；账本不可变</x:v>
      </x:c>
      <x:c r="P28" s="13" t="str">
        <x:v>套餐改价、重复点击、Checkout失败、Webhook重放/乱序/伪造、退款争议</x:v>
      </x:c>
      <x:c r="Q28" s="13" t="str">
        <x:v>用户只读本人订单/账本；仅验签Webhook入账；人工调点需授权</x:v>
      </x:c>
      <x:c r="R28" s="13" t="str">
        <x:v>下单键防重复；Event ID去重；订单行锁原子入账；订单/账本进入导出</x:v>
      </x:c>
    </x:row>
    <x:row r="29" ht="68" customHeight="1">
      <x:c r="A29" s="13" t="str">
        <x:v>第 1 期</x:v>
      </x:c>
      <x:c r="B29" s="13" t="str">
        <x:v>4. 点数与商业化</x:v>
      </x:c>
      <x:c r="C29" s="13" t="str">
        <x:v>USER-003A</x:v>
      </x:c>
      <x:c r="D29" s="13" t="str">
        <x:v>新用户6点</x:v>
      </x:c>
      <x:c r="E29" s="13" t="str">
        <x:v>BE-SIGNUP-BONUS-03</x:v>
      </x:c>
      <x:c r="F29" s="13" t="str">
        <x:v>后端</x:v>
      </x:c>
      <x:c r="G29" s="13" t="str">
        <x:v>在账户初始化事务发放6点</x:v>
      </x:c>
      <x:c r="H29" s="13" t="str">
        <x:v>余额与账本同事务</x:v>
      </x:c>
      <x:c r="I29" s="13" t="str">
        <x:v>任一步失败全部回滚</x:v>
      </x:c>
      <x:c r="J29" s="13" t="str">
        <x:v>—</x:v>
      </x:c>
      <x:c r="K29" s="13" t="str">
        <x:v>已完成</x:v>
      </x:c>
      <x:c r="L29" s="13" t="str">
        <x:v>08-21～08-22</x:v>
      </x:c>
      <x:c r="M29" s="13" t="str">
        <x:v>2026-08-20</x:v>
      </x:c>
      <x:c r="N29" s="13" t="str">
        <x:v>order UUID+后端业务订单号；ledger UUID；Stripe session/payment/event ID；价格版本</x:v>
      </x:c>
      <x:c r="O29" s="13" t="str">
        <x:v>order pending/paid/canceled/expired/failed/refunded；账本不可变</x:v>
      </x:c>
      <x:c r="P29" s="13" t="str">
        <x:v>套餐改价、重复点击、Checkout失败、Webhook重放/乱序/伪造、退款争议</x:v>
      </x:c>
      <x:c r="Q29" s="13" t="str">
        <x:v>用户只读本人订单/账本；仅验签Webhook入账；人工调点需授权</x:v>
      </x:c>
      <x:c r="R29" s="13" t="str">
        <x:v>下单键防重复；Event ID去重；订单行锁原子入账；订单/账本进入导出</x:v>
      </x:c>
    </x:row>
    <x:row r="30" ht="68" customHeight="1">
      <x:c r="A30" s="13" t="str">
        <x:v>第 1 期</x:v>
      </x:c>
      <x:c r="B30" s="13" t="str">
        <x:v>4. 点数与商业化</x:v>
      </x:c>
      <x:c r="C30" s="13" t="str">
        <x:v>USER-003A</x:v>
      </x:c>
      <x:c r="D30" s="13" t="str">
        <x:v>新用户6点</x:v>
      </x:c>
      <x:c r="E30" s="13" t="str">
        <x:v>BE-SIGNUP-BONUS-04</x:v>
      </x:c>
      <x:c r="F30" s="13" t="str">
        <x:v>后端</x:v>
      </x:c>
      <x:c r="G30" s="13" t="str">
        <x:v>处理重复Auth触发</x:v>
      </x:c>
      <x:c r="H30" s="13" t="str">
        <x:v>ON CONFLICT幂等</x:v>
      </x:c>
      <x:c r="I30" s="13" t="str">
        <x:v>重复事件余额仍为6</x:v>
      </x:c>
      <x:c r="J30" s="13" t="str">
        <x:v>—</x:v>
      </x:c>
      <x:c r="K30" s="13" t="str">
        <x:v>已完成</x:v>
      </x:c>
      <x:c r="L30" s="13" t="str">
        <x:v>08-21～08-22</x:v>
      </x:c>
      <x:c r="M30" s="13" t="str">
        <x:v>2026-08-20</x:v>
      </x:c>
      <x:c r="N30" s="13" t="str">
        <x:v>order UUID+后端业务订单号；ledger UUID；Stripe session/payment/event ID；价格版本</x:v>
      </x:c>
      <x:c r="O30" s="13" t="str">
        <x:v>order pending/paid/canceled/expired/failed/refunded；账本不可变</x:v>
      </x:c>
      <x:c r="P30" s="13" t="str">
        <x:v>套餐改价、重复点击、Checkout失败、Webhook重放/乱序/伪造、退款争议</x:v>
      </x:c>
      <x:c r="Q30" s="13" t="str">
        <x:v>用户只读本人订单/账本；仅验签Webhook入账；人工调点需授权</x:v>
      </x:c>
      <x:c r="R30" s="13" t="str">
        <x:v>下单键防重复；Event ID去重；订单行锁原子入账；订单/账本进入导出</x:v>
      </x:c>
    </x:row>
    <x:row r="31" ht="68" customHeight="1">
      <x:c r="A31" s="13" t="str">
        <x:v>第 1 期</x:v>
      </x:c>
      <x:c r="B31" s="13" t="str">
        <x:v>4. 点数与商业化</x:v>
      </x:c>
      <x:c r="C31" s="13" t="str">
        <x:v>USER-003A</x:v>
      </x:c>
      <x:c r="D31" s="13" t="str">
        <x:v>新用户6点</x:v>
      </x:c>
      <x:c r="E31" s="13" t="str">
        <x:v>BE-SIGNUP-BONUS-05</x:v>
      </x:c>
      <x:c r="F31" s="13" t="str">
        <x:v>后端</x:v>
      </x:c>
      <x:c r="G31" s="13" t="str">
        <x:v>编写并发发放测试</x:v>
      </x:c>
      <x:c r="H31" s="13" t="str">
        <x:v>并发触发用例</x:v>
      </x:c>
      <x:c r="I31" s="13" t="str">
        <x:v>只产生一条账本记录</x:v>
      </x:c>
      <x:c r="J31" s="13" t="str">
        <x:v>—</x:v>
      </x:c>
      <x:c r="K31" s="13" t="str">
        <x:v>待完成</x:v>
      </x:c>
      <x:c r="L31" s="13" t="str">
        <x:v>08-21～08-22</x:v>
      </x:c>
      <x:c r="M31" s="13" t="str">
        <x:v>—</x:v>
      </x:c>
      <x:c r="N31" s="13" t="str">
        <x:v>order UUID+后端业务订单号；ledger UUID；Stripe session/payment/event ID；价格版本</x:v>
      </x:c>
      <x:c r="O31" s="13" t="str">
        <x:v>order pending/paid/canceled/expired/failed/refunded；账本不可变</x:v>
      </x:c>
      <x:c r="P31" s="13" t="str">
        <x:v>套餐改价、重复点击、Checkout失败、Webhook重放/乱序/伪造、退款争议</x:v>
      </x:c>
      <x:c r="Q31" s="13" t="str">
        <x:v>用户只读本人订单/账本；仅验签Webhook入账；人工调点需授权</x:v>
      </x:c>
      <x:c r="R31" s="13" t="str">
        <x:v>下单键防重复；Event ID去重；订单行锁原子入账；订单/账本进入导出</x:v>
      </x:c>
    </x:row>
    <x:row r="32" ht="68" customHeight="1">
      <x:c r="A32" s="13" t="str">
        <x:v>第 1 期</x:v>
      </x:c>
      <x:c r="B32" s="13" t="str">
        <x:v>2. 图标设计与生成</x:v>
      </x:c>
      <x:c r="C32" s="13" t="str">
        <x:v>GEN-004/005</x:v>
      </x:c>
      <x:c r="D32" s="13" t="str">
        <x:v>核心设置API</x:v>
      </x:c>
      <x:c r="E32" s="13" t="str">
        <x:v>BE-SETTINGS-01</x:v>
      </x:c>
      <x:c r="F32" s="13" t="str">
        <x:v>后端</x:v>
      </x:c>
      <x:c r="G32" s="13" t="str">
        <x:v>定义GET /api/generation/settings请求响应契约</x:v>
      </x:c>
      <x:c r="H32" s="13" t="str">
        <x:v>共享Schema、类型和示例</x:v>
      </x:c>
      <x:c r="I32" s="13" t="str">
        <x:v>合法与非法样例可被自动校验</x:v>
      </x:c>
      <x:c r="J32" s="13" t="str">
        <x:v>—</x:v>
      </x:c>
      <x:c r="K32" s="13" t="str">
        <x:v>已完成</x:v>
      </x:c>
      <x:c r="L32" s="13" t="str">
        <x:v>08-22</x:v>
      </x:c>
      <x:c r="M32" s="13" t="str">
        <x:v>2026-08-20</x:v>
      </x:c>
      <x:c r="N32" s="13" t="str">
        <x:v>job/subject/variant/asset均为UUID；创建请求带idempotency_key；记录设置/Skill/模型版本</x:v>
      </x:c>
      <x:c r="O32" s="13" t="str">
        <x:v>job queued/processing/completed/partial/failed；variant queued/processing/completed/failed</x:v>
      </x:c>
      <x:c r="P32" s="13" t="str">
        <x:v>1–20主体、余额不足、内容拦截、超时、部分成功、刷新恢复</x:v>
      </x:c>
      <x:c r="Q32" s="13" t="str">
        <x:v>仅本人读任务；Worker服务端权限；模型密钥不下发</x:v>
      </x:c>
      <x:c r="R32" s="13" t="str">
        <x:v>建任务+扣点同事务；每用户1个活动任务；重投跳过完成variant；资产30天</x:v>
      </x:c>
    </x:row>
    <x:row r="33" ht="68" customHeight="1">
      <x:c r="A33" s="13" t="str">
        <x:v>第 1 期</x:v>
      </x:c>
      <x:c r="B33" s="13" t="str">
        <x:v>2. 图标设计与生成</x:v>
      </x:c>
      <x:c r="C33" s="13" t="str">
        <x:v>GEN-004/005</x:v>
      </x:c>
      <x:c r="D33" s="13" t="str">
        <x:v>核心设置API</x:v>
      </x:c>
      <x:c r="E33" s="13" t="str">
        <x:v>BE-SETTINGS-02</x:v>
      </x:c>
      <x:c r="F33" s="13" t="str">
        <x:v>后端</x:v>
      </x:c>
      <x:c r="G33" s="13" t="str">
        <x:v>确认静态GET接口无请求参数</x:v>
      </x:c>
      <x:c r="H33" s="13" t="str">
        <x:v>无查询参数或请求体</x:v>
      </x:c>
      <x:c r="I33" s="13" t="str">
        <x:v>响应不受客户端输入影响</x:v>
      </x:c>
      <x:c r="J33" s="13" t="str">
        <x:v>BE-SETTINGS-01</x:v>
      </x:c>
      <x:c r="K33" s="13" t="str">
        <x:v>已完成</x:v>
      </x:c>
      <x:c r="L33" s="13" t="str">
        <x:v>08-22</x:v>
      </x:c>
      <x:c r="M33" s="13" t="str">
        <x:v>2026-08-20</x:v>
      </x:c>
      <x:c r="N33" s="13" t="str">
        <x:v>job/subject/variant/asset均为UUID；创建请求带idempotency_key；记录设置/Skill/模型版本</x:v>
      </x:c>
      <x:c r="O33" s="13" t="str">
        <x:v>job queued/processing/completed/partial/failed；variant queued/processing/completed/failed</x:v>
      </x:c>
      <x:c r="P33" s="13" t="str">
        <x:v>1–20主体、余额不足、内容拦截、超时、部分成功、刷新恢复</x:v>
      </x:c>
      <x:c r="Q33" s="13" t="str">
        <x:v>仅本人读任务；Worker服务端权限；模型密钥不下发</x:v>
      </x:c>
      <x:c r="R33" s="13" t="str">
        <x:v>建任务+扣点同事务；每用户1个活动任务；重投跳过完成variant；资产30天</x:v>
      </x:c>
    </x:row>
    <x:row r="34" ht="68" customHeight="1">
      <x:c r="A34" s="13" t="str">
        <x:v>第 1 期</x:v>
      </x:c>
      <x:c r="B34" s="13" t="str">
        <x:v>2. 图标设计与生成</x:v>
      </x:c>
      <x:c r="C34" s="13" t="str">
        <x:v>GEN-004/005</x:v>
      </x:c>
      <x:c r="D34" s="13" t="str">
        <x:v>核心设置API</x:v>
      </x:c>
      <x:c r="E34" s="13" t="str">
        <x:v>BE-SETTINGS-03</x:v>
      </x:c>
      <x:c r="F34" s="13" t="str">
        <x:v>后端</x:v>
      </x:c>
      <x:c r="G34" s="13" t="str">
        <x:v>确认设置接口公开只读</x:v>
      </x:c>
      <x:c r="H34" s="13" t="str">
        <x:v>无需登录且不返回用户数据</x:v>
      </x:c>
      <x:c r="I34" s="13" t="str">
        <x:v>未登录可读取；无任何私有字段</x:v>
      </x:c>
      <x:c r="J34" s="13" t="str">
        <x:v>BE-SETTINGS-01</x:v>
      </x:c>
      <x:c r="K34" s="13" t="str">
        <x:v>已完成</x:v>
      </x:c>
      <x:c r="L34" s="13" t="str">
        <x:v>08-22</x:v>
      </x:c>
      <x:c r="M34" s="13" t="str">
        <x:v>2026-08-20</x:v>
      </x:c>
      <x:c r="N34" s="13" t="str">
        <x:v>job/subject/variant/asset均为UUID；创建请求带idempotency_key；记录设置/Skill/模型版本</x:v>
      </x:c>
      <x:c r="O34" s="13" t="str">
        <x:v>job queued/processing/completed/partial/failed；variant queued/processing/completed/failed</x:v>
      </x:c>
      <x:c r="P34" s="13" t="str">
        <x:v>1–20主体、余额不足、内容拦截、超时、部分成功、刷新恢复</x:v>
      </x:c>
      <x:c r="Q34" s="13" t="str">
        <x:v>仅本人读任务；Worker服务端权限；模型密钥不下发</x:v>
      </x:c>
      <x:c r="R34" s="13" t="str">
        <x:v>建任务+扣点同事务；每用户1个活动任务；重投跳过完成variant；资产30天</x:v>
      </x:c>
    </x:row>
    <x:row r="35" ht="68" customHeight="1">
      <x:c r="A35" s="13" t="str">
        <x:v>第 1 期</x:v>
      </x:c>
      <x:c r="B35" s="13" t="str">
        <x:v>2. 图标设计与生成</x:v>
      </x:c>
      <x:c r="C35" s="13" t="str">
        <x:v>GEN-004/005</x:v>
      </x:c>
      <x:c r="D35" s="13" t="str">
        <x:v>核心设置API</x:v>
      </x:c>
      <x:c r="E35" s="13" t="str">
        <x:v>BE-SETTINGS-04</x:v>
      </x:c>
      <x:c r="F35" s="13" t="str">
        <x:v>后端</x:v>
      </x:c>
      <x:c r="G35" s="13" t="str">
        <x:v>返回设置版本</x:v>
      </x:c>
      <x:c r="H35" s="13" t="str">
        <x:v>settingsVersion字段</x:v>
      </x:c>
      <x:c r="I35" s="13" t="str">
        <x:v>与创建任务Schema字面量一致</x:v>
      </x:c>
      <x:c r="J35" s="13" t="str">
        <x:v>—</x:v>
      </x:c>
      <x:c r="K35" s="13" t="str">
        <x:v>已完成</x:v>
      </x:c>
      <x:c r="L35" s="13" t="str">
        <x:v>08-22</x:v>
      </x:c>
      <x:c r="M35" s="13" t="str">
        <x:v>2026-08-20</x:v>
      </x:c>
      <x:c r="N35" s="13" t="str">
        <x:v>job/subject/variant/asset均为UUID；创建请求带idempotency_key；记录设置/Skill/模型版本</x:v>
      </x:c>
      <x:c r="O35" s="13" t="str">
        <x:v>job queued/processing/completed/partial/failed；variant queued/processing/completed/failed</x:v>
      </x:c>
      <x:c r="P35" s="13" t="str">
        <x:v>1–20主体、余额不足、内容拦截、超时、部分成功、刷新恢复</x:v>
      </x:c>
      <x:c r="Q35" s="13" t="str">
        <x:v>仅本人读任务；Worker服务端权限；模型密钥不下发</x:v>
      </x:c>
      <x:c r="R35" s="13" t="str">
        <x:v>建任务+扣点同事务；每用户1个活动任务；重投跳过完成variant；资产30天</x:v>
      </x:c>
    </x:row>
    <x:row r="36" ht="68" customHeight="1">
      <x:c r="A36" s="13" t="str">
        <x:v>第 1 期</x:v>
      </x:c>
      <x:c r="B36" s="13" t="str">
        <x:v>2. 图标设计与生成</x:v>
      </x:c>
      <x:c r="C36" s="13" t="str">
        <x:v>GEN-004/005</x:v>
      </x:c>
      <x:c r="D36" s="13" t="str">
        <x:v>核心设置API</x:v>
      </x:c>
      <x:c r="E36" s="13" t="str">
        <x:v>BE-SETTINGS-05</x:v>
      </x:c>
      <x:c r="F36" s="13" t="str">
        <x:v>后端</x:v>
      </x:c>
      <x:c r="G36" s="13" t="str">
        <x:v>返回6组25项</x:v>
      </x:c>
      <x:c r="H36" s="13" t="str">
        <x:v>稳定ID、en/zh label、prompt token</x:v>
      </x:c>
      <x:c r="I36" s="13" t="str">
        <x:v>自动测试数量和重复ID</x:v>
      </x:c>
      <x:c r="J36" s="13" t="str">
        <x:v>—</x:v>
      </x:c>
      <x:c r="K36" s="13" t="str">
        <x:v>已完成</x:v>
      </x:c>
      <x:c r="L36" s="13" t="str">
        <x:v>08-22</x:v>
      </x:c>
      <x:c r="M36" s="13" t="str">
        <x:v>2026-08-20</x:v>
      </x:c>
      <x:c r="N36" s="13" t="str">
        <x:v>job/subject/variant/asset均为UUID；创建请求带idempotency_key；记录设置/Skill/模型版本</x:v>
      </x:c>
      <x:c r="O36" s="13" t="str">
        <x:v>job queued/processing/completed/partial/failed；variant queued/processing/completed/failed</x:v>
      </x:c>
      <x:c r="P36" s="13" t="str">
        <x:v>1–20主体、余额不足、内容拦截、超时、部分成功、刷新恢复</x:v>
      </x:c>
      <x:c r="Q36" s="13" t="str">
        <x:v>仅本人读任务；Worker服务端权限；模型密钥不下发</x:v>
      </x:c>
      <x:c r="R36" s="13" t="str">
        <x:v>建任务+扣点同事务；每用户1个活动任务；重投跳过完成variant；资产30天</x:v>
      </x:c>
    </x:row>
    <x:row r="37" ht="68" customHeight="1">
      <x:c r="A37" s="13" t="str">
        <x:v>第 1 期</x:v>
      </x:c>
      <x:c r="B37" s="13" t="str">
        <x:v>2. 图标设计与生成</x:v>
      </x:c>
      <x:c r="C37" s="13" t="str">
        <x:v>GEN-004/005</x:v>
      </x:c>
      <x:c r="D37" s="13" t="str">
        <x:v>核心设置API</x:v>
      </x:c>
      <x:c r="E37" s="13" t="str">
        <x:v>BE-SETTINGS-06</x:v>
      </x:c>
      <x:c r="F37" s="13" t="str">
        <x:v>后端</x:v>
      </x:c>
      <x:c r="G37" s="13" t="str">
        <x:v>返回允许尺寸和主体上限</x:v>
      </x:c>
      <x:c r="H37" s="13" t="str">
        <x:v>sizes/maxSubjects/variantsPerSubject</x:v>
      </x:c>
      <x:c r="I37" s="13" t="str">
        <x:v>数值来自共享常量</x:v>
      </x:c>
      <x:c r="J37" s="13" t="str">
        <x:v>—</x:v>
      </x:c>
      <x:c r="K37" s="13" t="str">
        <x:v>已完成</x:v>
      </x:c>
      <x:c r="L37" s="13" t="str">
        <x:v>08-22</x:v>
      </x:c>
      <x:c r="M37" s="13" t="str">
        <x:v>2026-08-20</x:v>
      </x:c>
      <x:c r="N37" s="13" t="str">
        <x:v>job/subject/variant/asset均为UUID；创建请求带idempotency_key；记录设置/Skill/模型版本</x:v>
      </x:c>
      <x:c r="O37" s="13" t="str">
        <x:v>job queued/processing/completed/partial/failed；variant queued/processing/completed/failed</x:v>
      </x:c>
      <x:c r="P37" s="13" t="str">
        <x:v>1–20主体、余额不足、内容拦截、超时、部分成功、刷新恢复</x:v>
      </x:c>
      <x:c r="Q37" s="13" t="str">
        <x:v>仅本人读任务；Worker服务端权限；模型密钥不下发</x:v>
      </x:c>
      <x:c r="R37" s="13" t="str">
        <x:v>建任务+扣点同事务；每用户1个活动任务；重投跳过完成variant；资产30天</x:v>
      </x:c>
    </x:row>
    <x:row r="38" ht="68" customHeight="1">
      <x:c r="A38" s="13" t="str">
        <x:v>第 1 期</x:v>
      </x:c>
      <x:c r="B38" s="13" t="str">
        <x:v>2. 图标设计与生成</x:v>
      </x:c>
      <x:c r="C38" s="13" t="str">
        <x:v>GEN-004/005</x:v>
      </x:c>
      <x:c r="D38" s="13" t="str">
        <x:v>核心设置API</x:v>
      </x:c>
      <x:c r="E38" s="13" t="str">
        <x:v>BE-SETTINGS-07</x:v>
      </x:c>
      <x:c r="F38" s="13" t="str">
        <x:v>后端</x:v>
      </x:c>
      <x:c r="G38" s="13" t="str">
        <x:v>定义GET /api/generation/settings稳定错误码</x:v>
      </x:c>
      <x:c r="H38" s="13" t="str">
        <x:v>错误枚举和HTTP映射</x:v>
      </x:c>
      <x:c r="I38" s="13" t="str">
        <x:v>前端无需解析内部错误正文</x:v>
      </x:c>
      <x:c r="J38" s="13" t="str">
        <x:v>BE-SETTINGS-02</x:v>
      </x:c>
      <x:c r="K38" s="13" t="str">
        <x:v>已完成</x:v>
      </x:c>
      <x:c r="L38" s="13" t="str">
        <x:v>08-22</x:v>
      </x:c>
      <x:c r="M38" s="13" t="str">
        <x:v>2026-08-20</x:v>
      </x:c>
      <x:c r="N38" s="13" t="str">
        <x:v>job/subject/variant/asset均为UUID；创建请求带idempotency_key；记录设置/Skill/模型版本</x:v>
      </x:c>
      <x:c r="O38" s="13" t="str">
        <x:v>job queued/processing/completed/partial/failed；variant queued/processing/completed/failed</x:v>
      </x:c>
      <x:c r="P38" s="13" t="str">
        <x:v>1–20主体、余额不足、内容拦截、超时、部分成功、刷新恢复</x:v>
      </x:c>
      <x:c r="Q38" s="13" t="str">
        <x:v>仅本人读任务；Worker服务端权限；模型密钥不下发</x:v>
      </x:c>
      <x:c r="R38" s="13" t="str">
        <x:v>建任务+扣点同事务；每用户1个活动任务；重投跳过完成variant；资产30天</x:v>
      </x:c>
    </x:row>
    <x:row r="39" ht="68" customHeight="1">
      <x:c r="A39" s="13" t="str">
        <x:v>第 1 期</x:v>
      </x:c>
      <x:c r="B39" s="13" t="str">
        <x:v>2. 图标设计与生成</x:v>
      </x:c>
      <x:c r="C39" s="13" t="str">
        <x:v>GEN-004/005</x:v>
      </x:c>
      <x:c r="D39" s="13" t="str">
        <x:v>核心设置API</x:v>
      </x:c>
      <x:c r="E39" s="13" t="str">
        <x:v>BE-SETTINGS-08</x:v>
      </x:c>
      <x:c r="F39" s="13" t="str">
        <x:v>后端</x:v>
      </x:c>
      <x:c r="G39" s="13" t="str">
        <x:v>编写GET /api/generation/settings单元与集成测试</x:v>
      </x:c>
      <x:c r="H39" s="13" t="str">
        <x:v>Schema、数量、缓存和重复调用测试</x:v>
      </x:c>
      <x:c r="I39" s="13" t="str">
        <x:v>测试可重复运行且响应一致</x:v>
      </x:c>
      <x:c r="J39" s="13" t="str">
        <x:v>—</x:v>
      </x:c>
      <x:c r="K39" s="13" t="str">
        <x:v>已完成</x:v>
      </x:c>
      <x:c r="L39" s="13" t="str">
        <x:v>08-22</x:v>
      </x:c>
      <x:c r="M39" s="13" t="str">
        <x:v>2026-08-20</x:v>
      </x:c>
      <x:c r="N39" s="13" t="str">
        <x:v>job/subject/variant/asset均为UUID；创建请求带idempotency_key；记录设置/Skill/模型版本</x:v>
      </x:c>
      <x:c r="O39" s="13" t="str">
        <x:v>job queued/processing/completed/partial/failed；variant queued/processing/completed/failed</x:v>
      </x:c>
      <x:c r="P39" s="13" t="str">
        <x:v>1–20主体、余额不足、内容拦截、超时、部分成功、刷新恢复</x:v>
      </x:c>
      <x:c r="Q39" s="13" t="str">
        <x:v>仅本人读任务；Worker服务端权限；模型密钥不下发</x:v>
      </x:c>
      <x:c r="R39" s="13" t="str">
        <x:v>建任务+扣点同事务；每用户1个活动任务；重投跳过完成variant；资产30天</x:v>
      </x:c>
    </x:row>
    <x:row r="40" ht="68" customHeight="1">
      <x:c r="A40" s="13" t="str">
        <x:v>第 1 期</x:v>
      </x:c>
      <x:c r="B40" s="13" t="str">
        <x:v>2. 图标设计与生成</x:v>
      </x:c>
      <x:c r="C40" s="13" t="str">
        <x:v>GEN-004/005</x:v>
      </x:c>
      <x:c r="D40" s="13" t="str">
        <x:v>核心设置API</x:v>
      </x:c>
      <x:c r="E40" s="13" t="str">
        <x:v>BE-SETTINGS-09</x:v>
      </x:c>
      <x:c r="F40" s="13" t="str">
        <x:v>后端</x:v>
      </x:c>
      <x:c r="G40" s="13" t="str">
        <x:v>更新GET /api/generation/settings接口文档</x:v>
      </x:c>
      <x:c r="H40" s="13" t="str">
        <x:v>请求、响应、错误、鉴权和示例</x:v>
      </x:c>
      <x:c r="I40" s="13" t="str">
        <x:v>前端可仅依据文档完成联调</x:v>
      </x:c>
      <x:c r="J40" s="13" t="str">
        <x:v>—</x:v>
      </x:c>
      <x:c r="K40" s="13" t="str">
        <x:v>已完成</x:v>
      </x:c>
      <x:c r="L40" s="13" t="str">
        <x:v>08-22</x:v>
      </x:c>
      <x:c r="M40" s="13" t="str">
        <x:v>2026-08-20</x:v>
      </x:c>
      <x:c r="N40" s="13" t="str">
        <x:v>job/subject/variant/asset均为UUID；创建请求带idempotency_key；记录设置/Skill/模型版本</x:v>
      </x:c>
      <x:c r="O40" s="13" t="str">
        <x:v>job queued/processing/completed/partial/failed；variant queued/processing/completed/failed</x:v>
      </x:c>
      <x:c r="P40" s="13" t="str">
        <x:v>1–20主体、余额不足、内容拦截、超时、部分成功、刷新恢复</x:v>
      </x:c>
      <x:c r="Q40" s="13" t="str">
        <x:v>仅本人读任务；Worker服务端权限；模型密钥不下发</x:v>
      </x:c>
      <x:c r="R40" s="13" t="str">
        <x:v>建任务+扣点同事务；每用户1个活动任务；重投跳过完成variant；资产30天</x:v>
      </x:c>
    </x:row>
    <x:row r="41" ht="68" customHeight="1">
      <x:c r="A41" s="13" t="str">
        <x:v>第 1 期</x:v>
      </x:c>
      <x:c r="B41" s="13" t="str">
        <x:v>2. 图标设计与生成</x:v>
      </x:c>
      <x:c r="C41" s="13" t="str">
        <x:v>GEN-007</x:v>
      </x:c>
      <x:c r="D41" s="13" t="str">
        <x:v>创建生成任务</x:v>
      </x:c>
      <x:c r="E41" s="13" t="str">
        <x:v>BE-JOB-CREATE-01</x:v>
      </x:c>
      <x:c r="F41" s="13" t="str">
        <x:v>后端</x:v>
      </x:c>
      <x:c r="G41" s="13" t="str">
        <x:v>定义POST /api/generation/jobs请求响应契约</x:v>
      </x:c>
      <x:c r="H41" s="13" t="str">
        <x:v>共享Schema、类型和示例</x:v>
      </x:c>
      <x:c r="I41" s="13" t="str">
        <x:v>合法与非法样例可被自动校验</x:v>
      </x:c>
      <x:c r="J41" s="13" t="str">
        <x:v>—</x:v>
      </x:c>
      <x:c r="K41" s="13" t="str">
        <x:v>待完成</x:v>
      </x:c>
      <x:c r="L41" s="13" t="str">
        <x:v>08-22～08-24</x:v>
      </x:c>
      <x:c r="M41" s="13" t="str">
        <x:v>—</x:v>
      </x:c>
      <x:c r="N41" s="13" t="str">
        <x:v>job/subject/variant/asset均为UUID；创建请求带idempotency_key；记录设置/Skill/模型版本</x:v>
      </x:c>
      <x:c r="O41" s="13" t="str">
        <x:v>job queued/processing/completed/partial/failed；variant queued/processing/completed/failed</x:v>
      </x:c>
      <x:c r="P41" s="13" t="str">
        <x:v>1–20主体、余额不足、内容拦截、超时、部分成功、刷新恢复</x:v>
      </x:c>
      <x:c r="Q41" s="13" t="str">
        <x:v>仅本人读任务；Worker服务端权限；模型密钥不下发</x:v>
      </x:c>
      <x:c r="R41" s="13" t="str">
        <x:v>建任务+扣点同事务；每用户1个活动任务；重投跳过完成variant；资产30天</x:v>
      </x:c>
    </x:row>
    <x:row r="42" ht="68" customHeight="1">
      <x:c r="A42" s="13" t="str">
        <x:v>第 1 期</x:v>
      </x:c>
      <x:c r="B42" s="13" t="str">
        <x:v>2. 图标设计与生成</x:v>
      </x:c>
      <x:c r="C42" s="13" t="str">
        <x:v>GEN-007</x:v>
      </x:c>
      <x:c r="D42" s="13" t="str">
        <x:v>创建生成任务</x:v>
      </x:c>
      <x:c r="E42" s="13" t="str">
        <x:v>BE-JOB-CREATE-02</x:v>
      </x:c>
      <x:c r="F42" s="13" t="str">
        <x:v>后端</x:v>
      </x:c>
      <x:c r="G42" s="13" t="str">
        <x:v>实现POST /api/generation/jobs输入校验</x:v>
      </x:c>
      <x:c r="H42" s="13" t="str">
        <x:v>边界校验与字段规范化</x:v>
      </x:c>
      <x:c r="I42" s="13" t="str">
        <x:v>非法输入在副作用前返回稳定400错误</x:v>
      </x:c>
      <x:c r="J42" s="13" t="str">
        <x:v>BE-JOB-CREATE-01</x:v>
      </x:c>
      <x:c r="K42" s="13" t="str">
        <x:v>待完成</x:v>
      </x:c>
      <x:c r="L42" s="13" t="str">
        <x:v>08-22～08-24</x:v>
      </x:c>
      <x:c r="M42" s="13" t="str">
        <x:v>—</x:v>
      </x:c>
      <x:c r="N42" s="13" t="str">
        <x:v>job/subject/variant/asset均为UUID；创建请求带idempotency_key；记录设置/Skill/模型版本</x:v>
      </x:c>
      <x:c r="O42" s="13" t="str">
        <x:v>job queued/processing/completed/partial/failed；variant queued/processing/completed/failed</x:v>
      </x:c>
      <x:c r="P42" s="13" t="str">
        <x:v>1–20主体、余额不足、内容拦截、超时、部分成功、刷新恢复</x:v>
      </x:c>
      <x:c r="Q42" s="13" t="str">
        <x:v>仅本人读任务；Worker服务端权限；模型密钥不下发</x:v>
      </x:c>
      <x:c r="R42" s="13" t="str">
        <x:v>建任务+扣点同事务；每用户1个活动任务；重投跳过完成variant；资产30天</x:v>
      </x:c>
    </x:row>
    <x:row r="43" ht="68" customHeight="1">
      <x:c r="A43" s="13" t="str">
        <x:v>第 1 期</x:v>
      </x:c>
      <x:c r="B43" s="13" t="str">
        <x:v>2. 图标设计与生成</x:v>
      </x:c>
      <x:c r="C43" s="13" t="str">
        <x:v>GEN-007</x:v>
      </x:c>
      <x:c r="D43" s="13" t="str">
        <x:v>创建生成任务</x:v>
      </x:c>
      <x:c r="E43" s="13" t="str">
        <x:v>BE-JOB-CREATE-03</x:v>
      </x:c>
      <x:c r="F43" s="13" t="str">
        <x:v>后端</x:v>
      </x:c>
      <x:c r="G43" s="13" t="str">
        <x:v>实现POST /api/generation/jobs身份与权限校验</x:v>
      </x:c>
      <x:c r="H43" s="13" t="str">
        <x:v>服务端鉴权和所有权检查</x:v>
      </x:c>
      <x:c r="I43" s="13" t="str">
        <x:v>未登录401；越权按规则403或404</x:v>
      </x:c>
      <x:c r="J43" s="13" t="str">
        <x:v>BE-JOB-CREATE-01</x:v>
      </x:c>
      <x:c r="K43" s="13" t="str">
        <x:v>待完成</x:v>
      </x:c>
      <x:c r="L43" s="13" t="str">
        <x:v>08-22～08-24</x:v>
      </x:c>
      <x:c r="M43" s="13" t="str">
        <x:v>—</x:v>
      </x:c>
      <x:c r="N43" s="13" t="str">
        <x:v>job/subject/variant/asset均为UUID；创建请求带idempotency_key；记录设置/Skill/模型版本</x:v>
      </x:c>
      <x:c r="O43" s="13" t="str">
        <x:v>job queued/processing/completed/partial/failed；variant queued/processing/completed/failed</x:v>
      </x:c>
      <x:c r="P43" s="13" t="str">
        <x:v>1–20主体、余额不足、内容拦截、超时、部分成功、刷新恢复</x:v>
      </x:c>
      <x:c r="Q43" s="13" t="str">
        <x:v>仅本人读任务；Worker服务端权限；模型密钥不下发</x:v>
      </x:c>
      <x:c r="R43" s="13" t="str">
        <x:v>建任务+扣点同事务；每用户1个活动任务；重投跳过完成variant；资产30天</x:v>
      </x:c>
    </x:row>
    <x:row r="44" ht="68" customHeight="1">
      <x:c r="A44" s="13" t="str">
        <x:v>第 1 期</x:v>
      </x:c>
      <x:c r="B44" s="13" t="str">
        <x:v>2. 图标设计与生成</x:v>
      </x:c>
      <x:c r="C44" s="13" t="str">
        <x:v>GEN-007</x:v>
      </x:c>
      <x:c r="D44" s="13" t="str">
        <x:v>创建生成任务</x:v>
      </x:c>
      <x:c r="E44" s="13" t="str">
        <x:v>BE-JOB-CREATE-04</x:v>
      </x:c>
      <x:c r="F44" s="13" t="str">
        <x:v>后端</x:v>
      </x:c>
      <x:c r="G44" s="13" t="str">
        <x:v>校验设置版本</x:v>
      </x:c>
      <x:c r="H44" s="13" t="str">
        <x:v>拒绝过期settingsVersion</x:v>
      </x:c>
      <x:c r="I44" s="13" t="str">
        <x:v>返回SETTINGS_VERSION_EXPIRED</x:v>
      </x:c>
      <x:c r="J44" s="13" t="str">
        <x:v>—</x:v>
      </x:c>
      <x:c r="K44" s="13" t="str">
        <x:v>待完成</x:v>
      </x:c>
      <x:c r="L44" s="13" t="str">
        <x:v>08-22～08-24</x:v>
      </x:c>
      <x:c r="M44" s="13" t="str">
        <x:v>—</x:v>
      </x:c>
      <x:c r="N44" s="13" t="str">
        <x:v>job/subject/variant/asset均为UUID；创建请求带idempotency_key；记录设置/Skill/模型版本</x:v>
      </x:c>
      <x:c r="O44" s="13" t="str">
        <x:v>job queued/processing/completed/partial/failed；variant queued/processing/completed/failed</x:v>
      </x:c>
      <x:c r="P44" s="13" t="str">
        <x:v>1–20主体、余额不足、内容拦截、超时、部分成功、刷新恢复</x:v>
      </x:c>
      <x:c r="Q44" s="13" t="str">
        <x:v>仅本人读任务；Worker服务端权限；模型密钥不下发</x:v>
      </x:c>
      <x:c r="R44" s="13" t="str">
        <x:v>建任务+扣点同事务；每用户1个活动任务；重投跳过完成variant；资产30天</x:v>
      </x:c>
    </x:row>
    <x:row r="45" ht="68" customHeight="1">
      <x:c r="A45" s="13" t="str">
        <x:v>第 1 期</x:v>
      </x:c>
      <x:c r="B45" s="13" t="str">
        <x:v>2. 图标设计与生成</x:v>
      </x:c>
      <x:c r="C45" s="13" t="str">
        <x:v>GEN-007</x:v>
      </x:c>
      <x:c r="D45" s="13" t="str">
        <x:v>创建生成任务</x:v>
      </x:c>
      <x:c r="E45" s="13" t="str">
        <x:v>BE-JOB-CREATE-05</x:v>
      </x:c>
      <x:c r="F45" s="13" t="str">
        <x:v>后端</x:v>
      </x:c>
      <x:c r="G45" s="13" t="str">
        <x:v>校验1–20主体与唯一clientId</x:v>
      </x:c>
      <x:c r="H45" s="13" t="str">
        <x:v>Schema和数据库双层约束</x:v>
      </x:c>
      <x:c r="I45" s="13" t="str">
        <x:v>无效请求不扣点</x:v>
      </x:c>
      <x:c r="J45" s="13" t="str">
        <x:v>—</x:v>
      </x:c>
      <x:c r="K45" s="13" t="str">
        <x:v>待完成</x:v>
      </x:c>
      <x:c r="L45" s="13" t="str">
        <x:v>08-22～08-24</x:v>
      </x:c>
      <x:c r="M45" s="13" t="str">
        <x:v>—</x:v>
      </x:c>
      <x:c r="N45" s="13" t="str">
        <x:v>job/subject/variant/asset均为UUID；创建请求带idempotency_key；记录设置/Skill/模型版本</x:v>
      </x:c>
      <x:c r="O45" s="13" t="str">
        <x:v>job queued/processing/completed/partial/failed；variant queued/processing/completed/failed</x:v>
      </x:c>
      <x:c r="P45" s="13" t="str">
        <x:v>1–20主体、余额不足、内容拦截、超时、部分成功、刷新恢复</x:v>
      </x:c>
      <x:c r="Q45" s="13" t="str">
        <x:v>仅本人读任务；Worker服务端权限；模型密钥不下发</x:v>
      </x:c>
      <x:c r="R45" s="13" t="str">
        <x:v>建任务+扣点同事务；每用户1个活动任务；重投跳过完成variant；资产30天</x:v>
      </x:c>
    </x:row>
    <x:row r="46" ht="68" customHeight="1">
      <x:c r="A46" s="13" t="str">
        <x:v>第 1 期</x:v>
      </x:c>
      <x:c r="B46" s="13" t="str">
        <x:v>2. 图标设计与生成</x:v>
      </x:c>
      <x:c r="C46" s="13" t="str">
        <x:v>GEN-007</x:v>
      </x:c>
      <x:c r="D46" s="13" t="str">
        <x:v>创建生成任务</x:v>
      </x:c>
      <x:c r="E46" s="13" t="str">
        <x:v>BE-JOB-CREATE-06</x:v>
      </x:c>
      <x:c r="F46" s="13" t="str">
        <x:v>后端</x:v>
      </x:c>
      <x:c r="G46" s="13" t="str">
        <x:v>执行内容预检</x:v>
      </x:c>
      <x:c r="H46" s="13" t="str">
        <x:v>主体名称和描述安全检查</x:v>
      </x:c>
      <x:c r="I46" s="13" t="str">
        <x:v>拦截请求不扣点</x:v>
      </x:c>
      <x:c r="J46" s="13" t="str">
        <x:v>—</x:v>
      </x:c>
      <x:c r="K46" s="13" t="str">
        <x:v>待完成</x:v>
      </x:c>
      <x:c r="L46" s="13" t="str">
        <x:v>08-22～08-24</x:v>
      </x:c>
      <x:c r="M46" s="13" t="str">
        <x:v>—</x:v>
      </x:c>
      <x:c r="N46" s="13" t="str">
        <x:v>job/subject/variant/asset均为UUID；创建请求带idempotency_key；记录设置/Skill/模型版本</x:v>
      </x:c>
      <x:c r="O46" s="13" t="str">
        <x:v>job queued/processing/completed/partial/failed；variant queued/processing/completed/failed</x:v>
      </x:c>
      <x:c r="P46" s="13" t="str">
        <x:v>1–20主体、余额不足、内容拦截、超时、部分成功、刷新恢复</x:v>
      </x:c>
      <x:c r="Q46" s="13" t="str">
        <x:v>仅本人读任务；Worker服务端权限；模型密钥不下发</x:v>
      </x:c>
      <x:c r="R46" s="13" t="str">
        <x:v>建任务+扣点同事务；每用户1个活动任务；重投跳过完成variant；资产30天</x:v>
      </x:c>
    </x:row>
    <x:row r="47" ht="68" customHeight="1">
      <x:c r="A47" s="13" t="str">
        <x:v>第 1 期</x:v>
      </x:c>
      <x:c r="B47" s="13" t="str">
        <x:v>2. 图标设计与生成</x:v>
      </x:c>
      <x:c r="C47" s="13" t="str">
        <x:v>GEN-007</x:v>
      </x:c>
      <x:c r="D47" s="13" t="str">
        <x:v>创建生成任务</x:v>
      </x:c>
      <x:c r="E47" s="13" t="str">
        <x:v>BE-JOB-CREATE-07</x:v>
      </x:c>
      <x:c r="F47" s="13" t="str">
        <x:v>后端</x:v>
      </x:c>
      <x:c r="G47" s="13" t="str">
        <x:v>检查活动任务限制</x:v>
      </x:c>
      <x:c r="H47" s="13" t="str">
        <x:v>按用户查询queued/processing</x:v>
      </x:c>
      <x:c r="I47" s="13" t="str">
        <x:v>存在活动任务返回其jobId</x:v>
      </x:c>
      <x:c r="J47" s="13" t="str">
        <x:v>—</x:v>
      </x:c>
      <x:c r="K47" s="13" t="str">
        <x:v>待完成</x:v>
      </x:c>
      <x:c r="L47" s="13" t="str">
        <x:v>08-22～08-24</x:v>
      </x:c>
      <x:c r="M47" s="13" t="str">
        <x:v>—</x:v>
      </x:c>
      <x:c r="N47" s="13" t="str">
        <x:v>job/subject/variant/asset均为UUID；创建请求带idempotency_key；记录设置/Skill/模型版本</x:v>
      </x:c>
      <x:c r="O47" s="13" t="str">
        <x:v>job queued/processing/completed/partial/failed；variant queued/processing/completed/failed</x:v>
      </x:c>
      <x:c r="P47" s="13" t="str">
        <x:v>1–20主体、余额不足、内容拦截、超时、部分成功、刷新恢复</x:v>
      </x:c>
      <x:c r="Q47" s="13" t="str">
        <x:v>仅本人读任务；Worker服务端权限；模型密钥不下发</x:v>
      </x:c>
      <x:c r="R47" s="13" t="str">
        <x:v>建任务+扣点同事务；每用户1个活动任务；重投跳过完成variant；资产30天</x:v>
      </x:c>
    </x:row>
    <x:row r="48" ht="68" customHeight="1">
      <x:c r="A48" s="13" t="str">
        <x:v>第 1 期</x:v>
      </x:c>
      <x:c r="B48" s="13" t="str">
        <x:v>2. 图标设计与生成</x:v>
      </x:c>
      <x:c r="C48" s="13" t="str">
        <x:v>GEN-007</x:v>
      </x:c>
      <x:c r="D48" s="13" t="str">
        <x:v>创建生成任务</x:v>
      </x:c>
      <x:c r="E48" s="13" t="str">
        <x:v>BE-JOB-CREATE-08</x:v>
      </x:c>
      <x:c r="F48" s="13" t="str">
        <x:v>后端</x:v>
      </x:c>
      <x:c r="G48" s="13" t="str">
        <x:v>锁定点数账户</x:v>
      </x:c>
      <x:c r="H48" s="13" t="str">
        <x:v>SELECT FOR UPDATE</x:v>
      </x:c>
      <x:c r="I48" s="13" t="str">
        <x:v>并发提交不会透支</x:v>
      </x:c>
      <x:c r="J48" s="13" t="str">
        <x:v>—</x:v>
      </x:c>
      <x:c r="K48" s="13" t="str">
        <x:v>待完成</x:v>
      </x:c>
      <x:c r="L48" s="13" t="str">
        <x:v>08-22～08-24</x:v>
      </x:c>
      <x:c r="M48" s="13" t="str">
        <x:v>—</x:v>
      </x:c>
      <x:c r="N48" s="13" t="str">
        <x:v>job/subject/variant/asset均为UUID；创建请求带idempotency_key；记录设置/Skill/模型版本</x:v>
      </x:c>
      <x:c r="O48" s="13" t="str">
        <x:v>job queued/processing/completed/partial/failed；variant queued/processing/completed/failed</x:v>
      </x:c>
      <x:c r="P48" s="13" t="str">
        <x:v>1–20主体、余额不足、内容拦截、超时、部分成功、刷新恢复</x:v>
      </x:c>
      <x:c r="Q48" s="13" t="str">
        <x:v>仅本人读任务；Worker服务端权限；模型密钥不下发</x:v>
      </x:c>
      <x:c r="R48" s="13" t="str">
        <x:v>建任务+扣点同事务；每用户1个活动任务；重投跳过完成variant；资产30天</x:v>
      </x:c>
    </x:row>
    <x:row r="49" ht="68" customHeight="1">
      <x:c r="A49" s="13" t="str">
        <x:v>第 1 期</x:v>
      </x:c>
      <x:c r="B49" s="13" t="str">
        <x:v>2. 图标设计与生成</x:v>
      </x:c>
      <x:c r="C49" s="13" t="str">
        <x:v>GEN-007</x:v>
      </x:c>
      <x:c r="D49" s="13" t="str">
        <x:v>创建生成任务</x:v>
      </x:c>
      <x:c r="E49" s="13" t="str">
        <x:v>BE-JOB-CREATE-09</x:v>
      </x:c>
      <x:c r="F49" s="13" t="str">
        <x:v>后端</x:v>
      </x:c>
      <x:c r="G49" s="13" t="str">
        <x:v>计算服务端费用</x:v>
      </x:c>
      <x:c r="H49" s="13" t="str">
        <x:v>subject count×1</x:v>
      </x:c>
      <x:c r="I49" s="13" t="str">
        <x:v>忽略客户端费用</x:v>
      </x:c>
      <x:c r="J49" s="13" t="str">
        <x:v>—</x:v>
      </x:c>
      <x:c r="K49" s="13" t="str">
        <x:v>待完成</x:v>
      </x:c>
      <x:c r="L49" s="13" t="str">
        <x:v>08-22～08-24</x:v>
      </x:c>
      <x:c r="M49" s="13" t="str">
        <x:v>—</x:v>
      </x:c>
      <x:c r="N49" s="13" t="str">
        <x:v>job/subject/variant/asset均为UUID；创建请求带idempotency_key；记录设置/Skill/模型版本</x:v>
      </x:c>
      <x:c r="O49" s="13" t="str">
        <x:v>job queued/processing/completed/partial/failed；variant queued/processing/completed/failed</x:v>
      </x:c>
      <x:c r="P49" s="13" t="str">
        <x:v>1–20主体、余额不足、内容拦截、超时、部分成功、刷新恢复</x:v>
      </x:c>
      <x:c r="Q49" s="13" t="str">
        <x:v>仅本人读任务；Worker服务端权限；模型密钥不下发</x:v>
      </x:c>
      <x:c r="R49" s="13" t="str">
        <x:v>建任务+扣点同事务；每用户1个活动任务；重投跳过完成variant；资产30天</x:v>
      </x:c>
    </x:row>
    <x:row r="50" ht="68" customHeight="1">
      <x:c r="A50" s="13" t="str">
        <x:v>第 1 期</x:v>
      </x:c>
      <x:c r="B50" s="13" t="str">
        <x:v>2. 图标设计与生成</x:v>
      </x:c>
      <x:c r="C50" s="13" t="str">
        <x:v>GEN-007</x:v>
      </x:c>
      <x:c r="D50" s="13" t="str">
        <x:v>创建生成任务</x:v>
      </x:c>
      <x:c r="E50" s="13" t="str">
        <x:v>BE-JOB-CREATE-10</x:v>
      </x:c>
      <x:c r="F50" s="13" t="str">
        <x:v>后端</x:v>
      </x:c>
      <x:c r="G50" s="13" t="str">
        <x:v>原子创建job/subjects/variants</x:v>
      </x:c>
      <x:c r="H50" s="13" t="str">
        <x:v>一任务多主体每主体3variant</x:v>
      </x:c>
      <x:c r="I50" s="13" t="str">
        <x:v>任一插入失败全部回滚</x:v>
      </x:c>
      <x:c r="J50" s="13" t="str">
        <x:v>—</x:v>
      </x:c>
      <x:c r="K50" s="13" t="str">
        <x:v>待完成</x:v>
      </x:c>
      <x:c r="L50" s="13" t="str">
        <x:v>08-22～08-24</x:v>
      </x:c>
      <x:c r="M50" s="13" t="str">
        <x:v>—</x:v>
      </x:c>
      <x:c r="N50" s="13" t="str">
        <x:v>job/subject/variant/asset均为UUID；创建请求带idempotency_key；记录设置/Skill/模型版本</x:v>
      </x:c>
      <x:c r="O50" s="13" t="str">
        <x:v>job queued/processing/completed/partial/failed；variant queued/processing/completed/failed</x:v>
      </x:c>
      <x:c r="P50" s="13" t="str">
        <x:v>1–20主体、余额不足、内容拦截、超时、部分成功、刷新恢复</x:v>
      </x:c>
      <x:c r="Q50" s="13" t="str">
        <x:v>仅本人读任务；Worker服务端权限；模型密钥不下发</x:v>
      </x:c>
      <x:c r="R50" s="13" t="str">
        <x:v>建任务+扣点同事务；每用户1个活动任务；重投跳过完成variant；资产30天</x:v>
      </x:c>
    </x:row>
    <x:row r="51" ht="68" customHeight="1">
      <x:c r="A51" s="13" t="str">
        <x:v>第 1 期</x:v>
      </x:c>
      <x:c r="B51" s="13" t="str">
        <x:v>2. 图标设计与生成</x:v>
      </x:c>
      <x:c r="C51" s="13" t="str">
        <x:v>GEN-007</x:v>
      </x:c>
      <x:c r="D51" s="13" t="str">
        <x:v>创建生成任务</x:v>
      </x:c>
      <x:c r="E51" s="13" t="str">
        <x:v>BE-JOB-CREATE-11</x:v>
      </x:c>
      <x:c r="F51" s="13" t="str">
        <x:v>后端</x:v>
      </x:c>
      <x:c r="G51" s="13" t="str">
        <x:v>原子扣点并写账本</x:v>
      </x:c>
      <x:c r="H51" s="13" t="str">
        <x:v>generation_debit和balance_after</x:v>
      </x:c>
      <x:c r="I51" s="13" t="str">
        <x:v>与任务使用同一事务</x:v>
      </x:c>
      <x:c r="J51" s="13" t="str">
        <x:v>—</x:v>
      </x:c>
      <x:c r="K51" s="13" t="str">
        <x:v>待完成</x:v>
      </x:c>
      <x:c r="L51" s="13" t="str">
        <x:v>08-22～08-24</x:v>
      </x:c>
      <x:c r="M51" s="13" t="str">
        <x:v>—</x:v>
      </x:c>
      <x:c r="N51" s="13" t="str">
        <x:v>job/subject/variant/asset均为UUID；创建请求带idempotency_key；记录设置/Skill/模型版本</x:v>
      </x:c>
      <x:c r="O51" s="13" t="str">
        <x:v>job queued/processing/completed/partial/failed；variant queued/processing/completed/failed</x:v>
      </x:c>
      <x:c r="P51" s="13" t="str">
        <x:v>1–20主体、余额不足、内容拦截、超时、部分成功、刷新恢复</x:v>
      </x:c>
      <x:c r="Q51" s="13" t="str">
        <x:v>仅本人读任务；Worker服务端权限；模型密钥不下发</x:v>
      </x:c>
      <x:c r="R51" s="13" t="str">
        <x:v>建任务+扣点同事务；每用户1个活动任务；重投跳过完成variant；资产30天</x:v>
      </x:c>
    </x:row>
    <x:row r="52" ht="68" customHeight="1">
      <x:c r="A52" s="13" t="str">
        <x:v>第 1 期</x:v>
      </x:c>
      <x:c r="B52" s="13" t="str">
        <x:v>2. 图标设计与生成</x:v>
      </x:c>
      <x:c r="C52" s="13" t="str">
        <x:v>GEN-007</x:v>
      </x:c>
      <x:c r="D52" s="13" t="str">
        <x:v>创建生成任务</x:v>
      </x:c>
      <x:c r="E52" s="13" t="str">
        <x:v>BE-JOB-CREATE-12</x:v>
      </x:c>
      <x:c r="F52" s="13" t="str">
        <x:v>后端</x:v>
      </x:c>
      <x:c r="G52" s="13" t="str">
        <x:v>写入创建幂等键</x:v>
      </x:c>
      <x:c r="H52" s="13" t="str">
        <x:v>idempotencyKey唯一</x:v>
      </x:c>
      <x:c r="I52" s="13" t="str">
        <x:v>重复请求返回原job且不再次扣点</x:v>
      </x:c>
      <x:c r="J52" s="13" t="str">
        <x:v>—</x:v>
      </x:c>
      <x:c r="K52" s="13" t="str">
        <x:v>待完成</x:v>
      </x:c>
      <x:c r="L52" s="13" t="str">
        <x:v>08-22～08-24</x:v>
      </x:c>
      <x:c r="M52" s="13" t="str">
        <x:v>—</x:v>
      </x:c>
      <x:c r="N52" s="13" t="str">
        <x:v>job/subject/variant/asset均为UUID；创建请求带idempotency_key；记录设置/Skill/模型版本</x:v>
      </x:c>
      <x:c r="O52" s="13" t="str">
        <x:v>job queued/processing/completed/partial/failed；variant queued/processing/completed/failed</x:v>
      </x:c>
      <x:c r="P52" s="13" t="str">
        <x:v>1–20主体、余额不足、内容拦截、超时、部分成功、刷新恢复</x:v>
      </x:c>
      <x:c r="Q52" s="13" t="str">
        <x:v>仅本人读任务；Worker服务端权限；模型密钥不下发</x:v>
      </x:c>
      <x:c r="R52" s="13" t="str">
        <x:v>建任务+扣点同事务；每用户1个活动任务；重投跳过完成variant；资产30天</x:v>
      </x:c>
    </x:row>
    <x:row r="53" ht="68" customHeight="1">
      <x:c r="A53" s="13" t="str">
        <x:v>第 1 期</x:v>
      </x:c>
      <x:c r="B53" s="13" t="str">
        <x:v>2. 图标设计与生成</x:v>
      </x:c>
      <x:c r="C53" s="13" t="str">
        <x:v>GEN-007</x:v>
      </x:c>
      <x:c r="D53" s="13" t="str">
        <x:v>创建生成任务</x:v>
      </x:c>
      <x:c r="E53" s="13" t="str">
        <x:v>BE-JOB-CREATE-13</x:v>
      </x:c>
      <x:c r="F53" s="13" t="str">
        <x:v>后端</x:v>
      </x:c>
      <x:c r="G53" s="13" t="str">
        <x:v>事务提交后投递SQS v2</x:v>
      </x:c>
      <x:c r="H53" s="13" t="str">
        <x:v>jobId/requestedAt消息</x:v>
      </x:c>
      <x:c r="I53" s="13" t="str">
        <x:v>投递失败有补偿/重投策略</x:v>
      </x:c>
      <x:c r="J53" s="13" t="str">
        <x:v>—</x:v>
      </x:c>
      <x:c r="K53" s="13" t="str">
        <x:v>待完成</x:v>
      </x:c>
      <x:c r="L53" s="13" t="str">
        <x:v>08-22～08-24</x:v>
      </x:c>
      <x:c r="M53" s="13" t="str">
        <x:v>—</x:v>
      </x:c>
      <x:c r="N53" s="13" t="str">
        <x:v>job/subject/variant/asset均为UUID；创建请求带idempotency_key；记录设置/Skill/模型版本</x:v>
      </x:c>
      <x:c r="O53" s="13" t="str">
        <x:v>job queued/processing/completed/partial/failed；variant queued/processing/completed/failed</x:v>
      </x:c>
      <x:c r="P53" s="13" t="str">
        <x:v>1–20主体、余额不足、内容拦截、超时、部分成功、刷新恢复</x:v>
      </x:c>
      <x:c r="Q53" s="13" t="str">
        <x:v>仅本人读任务；Worker服务端权限；模型密钥不下发</x:v>
      </x:c>
      <x:c r="R53" s="13" t="str">
        <x:v>建任务+扣点同事务；每用户1个活动任务；重投跳过完成variant；资产30天</x:v>
      </x:c>
    </x:row>
    <x:row r="54" ht="68" customHeight="1">
      <x:c r="A54" s="13" t="str">
        <x:v>第 1 期</x:v>
      </x:c>
      <x:c r="B54" s="13" t="str">
        <x:v>2. 图标设计与生成</x:v>
      </x:c>
      <x:c r="C54" s="13" t="str">
        <x:v>GEN-007</x:v>
      </x:c>
      <x:c r="D54" s="13" t="str">
        <x:v>创建生成任务</x:v>
      </x:c>
      <x:c r="E54" s="13" t="str">
        <x:v>BE-JOB-CREATE-14</x:v>
      </x:c>
      <x:c r="F54" s="13" t="str">
        <x:v>后端</x:v>
      </x:c>
      <x:c r="G54" s="13" t="str">
        <x:v>定义POST /api/generation/jobs稳定错误码</x:v>
      </x:c>
      <x:c r="H54" s="13" t="str">
        <x:v>错误枚举和HTTP映射</x:v>
      </x:c>
      <x:c r="I54" s="13" t="str">
        <x:v>前端无需解析内部错误正文</x:v>
      </x:c>
      <x:c r="J54" s="13" t="str">
        <x:v>BE-JOB-CREATE-02</x:v>
      </x:c>
      <x:c r="K54" s="13" t="str">
        <x:v>待完成</x:v>
      </x:c>
      <x:c r="L54" s="13" t="str">
        <x:v>08-22～08-24</x:v>
      </x:c>
      <x:c r="M54" s="13" t="str">
        <x:v>—</x:v>
      </x:c>
      <x:c r="N54" s="13" t="str">
        <x:v>job/subject/variant/asset均为UUID；创建请求带idempotency_key；记录设置/Skill/模型版本</x:v>
      </x:c>
      <x:c r="O54" s="13" t="str">
        <x:v>job queued/processing/completed/partial/failed；variant queued/processing/completed/failed</x:v>
      </x:c>
      <x:c r="P54" s="13" t="str">
        <x:v>1–20主体、余额不足、内容拦截、超时、部分成功、刷新恢复</x:v>
      </x:c>
      <x:c r="Q54" s="13" t="str">
        <x:v>仅本人读任务；Worker服务端权限；模型密钥不下发</x:v>
      </x:c>
      <x:c r="R54" s="13" t="str">
        <x:v>建任务+扣点同事务；每用户1个活动任务；重投跳过完成variant；资产30天</x:v>
      </x:c>
    </x:row>
    <x:row r="55" ht="68" customHeight="1">
      <x:c r="A55" s="13" t="str">
        <x:v>第 1 期</x:v>
      </x:c>
      <x:c r="B55" s="13" t="str">
        <x:v>2. 图标设计与生成</x:v>
      </x:c>
      <x:c r="C55" s="13" t="str">
        <x:v>GEN-007</x:v>
      </x:c>
      <x:c r="D55" s="13" t="str">
        <x:v>创建生成任务</x:v>
      </x:c>
      <x:c r="E55" s="13" t="str">
        <x:v>BE-JOB-CREATE-15</x:v>
      </x:c>
      <x:c r="F55" s="13" t="str">
        <x:v>后端</x:v>
      </x:c>
      <x:c r="G55" s="13" t="str">
        <x:v>编写POST /api/generation/jobs单元与集成测试</x:v>
      </x:c>
      <x:c r="H55" s="13" t="str">
        <x:v>成功/失败/重复/越权测试</x:v>
      </x:c>
      <x:c r="I55" s="13" t="str">
        <x:v>测试可重复运行且数据库副作用可核对</x:v>
      </x:c>
      <x:c r="J55" s="13" t="str">
        <x:v>—</x:v>
      </x:c>
      <x:c r="K55" s="13" t="str">
        <x:v>待完成</x:v>
      </x:c>
      <x:c r="L55" s="13" t="str">
        <x:v>08-22～08-24</x:v>
      </x:c>
      <x:c r="M55" s="13" t="str">
        <x:v>—</x:v>
      </x:c>
      <x:c r="N55" s="13" t="str">
        <x:v>job/subject/variant/asset均为UUID；创建请求带idempotency_key；记录设置/Skill/模型版本</x:v>
      </x:c>
      <x:c r="O55" s="13" t="str">
        <x:v>job queued/processing/completed/partial/failed；variant queued/processing/completed/failed</x:v>
      </x:c>
      <x:c r="P55" s="13" t="str">
        <x:v>1–20主体、余额不足、内容拦截、超时、部分成功、刷新恢复</x:v>
      </x:c>
      <x:c r="Q55" s="13" t="str">
        <x:v>仅本人读任务；Worker服务端权限；模型密钥不下发</x:v>
      </x:c>
      <x:c r="R55" s="13" t="str">
        <x:v>建任务+扣点同事务；每用户1个活动任务；重投跳过完成variant；资产30天</x:v>
      </x:c>
    </x:row>
    <x:row r="56" ht="68" customHeight="1">
      <x:c r="A56" s="13" t="str">
        <x:v>第 1 期</x:v>
      </x:c>
      <x:c r="B56" s="13" t="str">
        <x:v>2. 图标设计与生成</x:v>
      </x:c>
      <x:c r="C56" s="13" t="str">
        <x:v>GEN-007</x:v>
      </x:c>
      <x:c r="D56" s="13" t="str">
        <x:v>创建生成任务</x:v>
      </x:c>
      <x:c r="E56" s="13" t="str">
        <x:v>BE-JOB-CREATE-16</x:v>
      </x:c>
      <x:c r="F56" s="13" t="str">
        <x:v>后端</x:v>
      </x:c>
      <x:c r="G56" s="13" t="str">
        <x:v>更新POST /api/generation/jobs接口文档</x:v>
      </x:c>
      <x:c r="H56" s="13" t="str">
        <x:v>请求、响应、错误、鉴权和示例</x:v>
      </x:c>
      <x:c r="I56" s="13" t="str">
        <x:v>前端可仅依据文档完成联调</x:v>
      </x:c>
      <x:c r="J56" s="13" t="str">
        <x:v>—</x:v>
      </x:c>
      <x:c r="K56" s="13" t="str">
        <x:v>待完成</x:v>
      </x:c>
      <x:c r="L56" s="13" t="str">
        <x:v>08-22～08-24</x:v>
      </x:c>
      <x:c r="M56" s="13" t="str">
        <x:v>—</x:v>
      </x:c>
      <x:c r="N56" s="13" t="str">
        <x:v>job/subject/variant/asset均为UUID；创建请求带idempotency_key；记录设置/Skill/模型版本</x:v>
      </x:c>
      <x:c r="O56" s="13" t="str">
        <x:v>job queued/processing/completed/partial/failed；variant queued/processing/completed/failed</x:v>
      </x:c>
      <x:c r="P56" s="13" t="str">
        <x:v>1–20主体、余额不足、内容拦截、超时、部分成功、刷新恢复</x:v>
      </x:c>
      <x:c r="Q56" s="13" t="str">
        <x:v>仅本人读任务；Worker服务端权限；模型密钥不下发</x:v>
      </x:c>
      <x:c r="R56" s="13" t="str">
        <x:v>建任务+扣点同事务；每用户1个活动任务；重投跳过完成variant；资产30天</x:v>
      </x:c>
    </x:row>
    <x:row r="57" ht="68" customHeight="1">
      <x:c r="A57" s="13" t="str">
        <x:v>第 1 期</x:v>
      </x:c>
      <x:c r="B57" s="13" t="str">
        <x:v>2. 图标设计与生成</x:v>
      </x:c>
      <x:c r="C57" s="13" t="str">
        <x:v>GEN-008</x:v>
      </x:c>
      <x:c r="D57" s="13" t="str">
        <x:v>任务详情与进度API</x:v>
      </x:c>
      <x:c r="E57" s="13" t="str">
        <x:v>BE-JOB-QUERY-01</x:v>
      </x:c>
      <x:c r="F57" s="13" t="str">
        <x:v>后端</x:v>
      </x:c>
      <x:c r="G57" s="13" t="str">
        <x:v>定义GET /api/generation/jobs/{jobId}请求响应契约</x:v>
      </x:c>
      <x:c r="H57" s="13" t="str">
        <x:v>共享Schema、类型和示例</x:v>
      </x:c>
      <x:c r="I57" s="13" t="str">
        <x:v>合法与非法样例可被自动校验</x:v>
      </x:c>
      <x:c r="J57" s="13" t="str">
        <x:v>—</x:v>
      </x:c>
      <x:c r="K57" s="13" t="str">
        <x:v>待完成</x:v>
      </x:c>
      <x:c r="L57" s="13" t="str">
        <x:v>08-25～08-26</x:v>
      </x:c>
      <x:c r="M57" s="13" t="str">
        <x:v>—</x:v>
      </x:c>
      <x:c r="N57" s="13" t="str">
        <x:v>job/subject/variant/asset均为UUID；创建请求带idempotency_key；记录设置/Skill/模型版本</x:v>
      </x:c>
      <x:c r="O57" s="13" t="str">
        <x:v>job queued/processing/completed/partial/failed；variant queued/processing/completed/failed</x:v>
      </x:c>
      <x:c r="P57" s="13" t="str">
        <x:v>1–20主体、余额不足、内容拦截、超时、部分成功、刷新恢复</x:v>
      </x:c>
      <x:c r="Q57" s="13" t="str">
        <x:v>仅本人读任务；Worker服务端权限；模型密钥不下发</x:v>
      </x:c>
      <x:c r="R57" s="13" t="str">
        <x:v>建任务+扣点同事务；每用户1个活动任务；重投跳过完成variant；资产30天</x:v>
      </x:c>
    </x:row>
    <x:row r="58" ht="68" customHeight="1">
      <x:c r="A58" s="13" t="str">
        <x:v>第 1 期</x:v>
      </x:c>
      <x:c r="B58" s="13" t="str">
        <x:v>2. 图标设计与生成</x:v>
      </x:c>
      <x:c r="C58" s="13" t="str">
        <x:v>GEN-008</x:v>
      </x:c>
      <x:c r="D58" s="13" t="str">
        <x:v>任务详情与进度API</x:v>
      </x:c>
      <x:c r="E58" s="13" t="str">
        <x:v>BE-JOB-QUERY-02</x:v>
      </x:c>
      <x:c r="F58" s="13" t="str">
        <x:v>后端</x:v>
      </x:c>
      <x:c r="G58" s="13" t="str">
        <x:v>实现GET /api/generation/jobs/{jobId}输入校验</x:v>
      </x:c>
      <x:c r="H58" s="13" t="str">
        <x:v>边界校验与字段规范化</x:v>
      </x:c>
      <x:c r="I58" s="13" t="str">
        <x:v>非法输入在副作用前返回稳定400错误</x:v>
      </x:c>
      <x:c r="J58" s="13" t="str">
        <x:v>BE-JOB-QUERY-01</x:v>
      </x:c>
      <x:c r="K58" s="13" t="str">
        <x:v>待完成</x:v>
      </x:c>
      <x:c r="L58" s="13" t="str">
        <x:v>08-25～08-26</x:v>
      </x:c>
      <x:c r="M58" s="13" t="str">
        <x:v>—</x:v>
      </x:c>
      <x:c r="N58" s="13" t="str">
        <x:v>job/subject/variant/asset均为UUID；创建请求带idempotency_key；记录设置/Skill/模型版本</x:v>
      </x:c>
      <x:c r="O58" s="13" t="str">
        <x:v>job queued/processing/completed/partial/failed；variant queued/processing/completed/failed</x:v>
      </x:c>
      <x:c r="P58" s="13" t="str">
        <x:v>1–20主体、余额不足、内容拦截、超时、部分成功、刷新恢复</x:v>
      </x:c>
      <x:c r="Q58" s="13" t="str">
        <x:v>仅本人读任务；Worker服务端权限；模型密钥不下发</x:v>
      </x:c>
      <x:c r="R58" s="13" t="str">
        <x:v>建任务+扣点同事务；每用户1个活动任务；重投跳过完成variant；资产30天</x:v>
      </x:c>
    </x:row>
    <x:row r="59" ht="68" customHeight="1">
      <x:c r="A59" s="13" t="str">
        <x:v>第 1 期</x:v>
      </x:c>
      <x:c r="B59" s="13" t="str">
        <x:v>2. 图标设计与生成</x:v>
      </x:c>
      <x:c r="C59" s="13" t="str">
        <x:v>GEN-008</x:v>
      </x:c>
      <x:c r="D59" s="13" t="str">
        <x:v>任务详情与进度API</x:v>
      </x:c>
      <x:c r="E59" s="13" t="str">
        <x:v>BE-JOB-QUERY-03</x:v>
      </x:c>
      <x:c r="F59" s="13" t="str">
        <x:v>后端</x:v>
      </x:c>
      <x:c r="G59" s="13" t="str">
        <x:v>实现GET /api/generation/jobs/{jobId}身份与权限校验</x:v>
      </x:c>
      <x:c r="H59" s="13" t="str">
        <x:v>服务端鉴权和所有权检查</x:v>
      </x:c>
      <x:c r="I59" s="13" t="str">
        <x:v>未登录401；越权按规则403或404</x:v>
      </x:c>
      <x:c r="J59" s="13" t="str">
        <x:v>BE-JOB-QUERY-01</x:v>
      </x:c>
      <x:c r="K59" s="13" t="str">
        <x:v>待完成</x:v>
      </x:c>
      <x:c r="L59" s="13" t="str">
        <x:v>08-25～08-26</x:v>
      </x:c>
      <x:c r="M59" s="13" t="str">
        <x:v>—</x:v>
      </x:c>
      <x:c r="N59" s="13" t="str">
        <x:v>job/subject/variant/asset均为UUID；创建请求带idempotency_key；记录设置/Skill/模型版本</x:v>
      </x:c>
      <x:c r="O59" s="13" t="str">
        <x:v>job queued/processing/completed/partial/failed；variant queued/processing/completed/failed</x:v>
      </x:c>
      <x:c r="P59" s="13" t="str">
        <x:v>1–20主体、余额不足、内容拦截、超时、部分成功、刷新恢复</x:v>
      </x:c>
      <x:c r="Q59" s="13" t="str">
        <x:v>仅本人读任务；Worker服务端权限；模型密钥不下发</x:v>
      </x:c>
      <x:c r="R59" s="13" t="str">
        <x:v>建任务+扣点同事务；每用户1个活动任务；重投跳过完成variant；资产30天</x:v>
      </x:c>
    </x:row>
    <x:row r="60" ht="68" customHeight="1">
      <x:c r="A60" s="13" t="str">
        <x:v>第 1 期</x:v>
      </x:c>
      <x:c r="B60" s="13" t="str">
        <x:v>2. 图标设计与生成</x:v>
      </x:c>
      <x:c r="C60" s="13" t="str">
        <x:v>GEN-008</x:v>
      </x:c>
      <x:c r="D60" s="13" t="str">
        <x:v>任务详情与进度API</x:v>
      </x:c>
      <x:c r="E60" s="13" t="str">
        <x:v>BE-JOB-QUERY-04</x:v>
      </x:c>
      <x:c r="F60" s="13" t="str">
        <x:v>后端</x:v>
      </x:c>
      <x:c r="G60" s="13" t="str">
        <x:v>按所有权读取任务</x:v>
      </x:c>
      <x:c r="H60" s="13" t="str">
        <x:v>job.user_id=current user</x:v>
      </x:c>
      <x:c r="I60" s="13" t="str">
        <x:v>他人任务返回404</x:v>
      </x:c>
      <x:c r="J60" s="13" t="str">
        <x:v>—</x:v>
      </x:c>
      <x:c r="K60" s="13" t="str">
        <x:v>待完成</x:v>
      </x:c>
      <x:c r="L60" s="13" t="str">
        <x:v>08-25～08-26</x:v>
      </x:c>
      <x:c r="M60" s="13" t="str">
        <x:v>—</x:v>
      </x:c>
      <x:c r="N60" s="13" t="str">
        <x:v>job/subject/variant/asset均为UUID；创建请求带idempotency_key；记录设置/Skill/模型版本</x:v>
      </x:c>
      <x:c r="O60" s="13" t="str">
        <x:v>job queued/processing/completed/partial/failed；variant queued/processing/completed/failed</x:v>
      </x:c>
      <x:c r="P60" s="13" t="str">
        <x:v>1–20主体、余额不足、内容拦截、超时、部分成功、刷新恢复</x:v>
      </x:c>
      <x:c r="Q60" s="13" t="str">
        <x:v>仅本人读任务；Worker服务端权限；模型密钥不下发</x:v>
      </x:c>
      <x:c r="R60" s="13" t="str">
        <x:v>建任务+扣点同事务；每用户1个活动任务；重投跳过完成variant；资产30天</x:v>
      </x:c>
    </x:row>
    <x:row r="61" ht="68" customHeight="1">
      <x:c r="A61" s="13" t="str">
        <x:v>第 1 期</x:v>
      </x:c>
      <x:c r="B61" s="13" t="str">
        <x:v>2. 图标设计与生成</x:v>
      </x:c>
      <x:c r="C61" s="13" t="str">
        <x:v>GEN-008</x:v>
      </x:c>
      <x:c r="D61" s="13" t="str">
        <x:v>任务详情与进度API</x:v>
      </x:c>
      <x:c r="E61" s="13" t="str">
        <x:v>BE-JOB-QUERY-05</x:v>
      </x:c>
      <x:c r="F61" s="13" t="str">
        <x:v>后端</x:v>
      </x:c>
      <x:c r="G61" s="13" t="str">
        <x:v>按position读取subjects</x:v>
      </x:c>
      <x:c r="H61" s="13" t="str">
        <x:v>稳定提交顺序</x:v>
      </x:c>
      <x:c r="I61" s="13" t="str">
        <x:v>无重复或乱序</x:v>
      </x:c>
      <x:c r="J61" s="13" t="str">
        <x:v>—</x:v>
      </x:c>
      <x:c r="K61" s="13" t="str">
        <x:v>待完成</x:v>
      </x:c>
      <x:c r="L61" s="13" t="str">
        <x:v>08-25～08-26</x:v>
      </x:c>
      <x:c r="M61" s="13" t="str">
        <x:v>—</x:v>
      </x:c>
      <x:c r="N61" s="13" t="str">
        <x:v>job/subject/variant/asset均为UUID；创建请求带idempotency_key；记录设置/Skill/模型版本</x:v>
      </x:c>
      <x:c r="O61" s="13" t="str">
        <x:v>job queued/processing/completed/partial/failed；variant queued/processing/completed/failed</x:v>
      </x:c>
      <x:c r="P61" s="13" t="str">
        <x:v>1–20主体、余额不足、内容拦截、超时、部分成功、刷新恢复</x:v>
      </x:c>
      <x:c r="Q61" s="13" t="str">
        <x:v>仅本人读任务；Worker服务端权限；模型密钥不下发</x:v>
      </x:c>
      <x:c r="R61" s="13" t="str">
        <x:v>建任务+扣点同事务；每用户1个活动任务；重投跳过完成variant；资产30天</x:v>
      </x:c>
    </x:row>
    <x:row r="62" ht="68" customHeight="1">
      <x:c r="A62" s="13" t="str">
        <x:v>第 1 期</x:v>
      </x:c>
      <x:c r="B62" s="13" t="str">
        <x:v>2. 图标设计与生成</x:v>
      </x:c>
      <x:c r="C62" s="13" t="str">
        <x:v>GEN-008</x:v>
      </x:c>
      <x:c r="D62" s="13" t="str">
        <x:v>任务详情与进度API</x:v>
      </x:c>
      <x:c r="E62" s="13" t="str">
        <x:v>BE-JOB-QUERY-06</x:v>
      </x:c>
      <x:c r="F62" s="13" t="str">
        <x:v>后端</x:v>
      </x:c>
      <x:c r="G62" s="13" t="str">
        <x:v>每主体返回3个variants</x:v>
      </x:c>
      <x:c r="H62" s="13" t="str">
        <x:v>slot 1/2/3和assets</x:v>
      </x:c>
      <x:c r="I62" s="13" t="str">
        <x:v>缺失数据作为一致性错误告警</x:v>
      </x:c>
      <x:c r="J62" s="13" t="str">
        <x:v>—</x:v>
      </x:c>
      <x:c r="K62" s="13" t="str">
        <x:v>待完成</x:v>
      </x:c>
      <x:c r="L62" s="13" t="str">
        <x:v>08-25～08-26</x:v>
      </x:c>
      <x:c r="M62" s="13" t="str">
        <x:v>—</x:v>
      </x:c>
      <x:c r="N62" s="13" t="str">
        <x:v>job/subject/variant/asset均为UUID；创建请求带idempotency_key；记录设置/Skill/模型版本</x:v>
      </x:c>
      <x:c r="O62" s="13" t="str">
        <x:v>job queued/processing/completed/partial/failed；variant queued/processing/completed/failed</x:v>
      </x:c>
      <x:c r="P62" s="13" t="str">
        <x:v>1–20主体、余额不足、内容拦截、超时、部分成功、刷新恢复</x:v>
      </x:c>
      <x:c r="Q62" s="13" t="str">
        <x:v>仅本人读任务；Worker服务端权限；模型密钥不下发</x:v>
      </x:c>
      <x:c r="R62" s="13" t="str">
        <x:v>建任务+扣点同事务；每用户1个活动任务；重投跳过完成variant；资产30天</x:v>
      </x:c>
    </x:row>
    <x:row r="63" ht="68" customHeight="1">
      <x:c r="A63" s="13" t="str">
        <x:v>第 1 期</x:v>
      </x:c>
      <x:c r="B63" s="13" t="str">
        <x:v>2. 图标设计与生成</x:v>
      </x:c>
      <x:c r="C63" s="13" t="str">
        <x:v>GEN-008</x:v>
      </x:c>
      <x:c r="D63" s="13" t="str">
        <x:v>任务详情与进度API</x:v>
      </x:c>
      <x:c r="E63" s="13" t="str">
        <x:v>BE-JOB-QUERY-07</x:v>
      </x:c>
      <x:c r="F63" s="13" t="str">
        <x:v>后端</x:v>
      </x:c>
      <x:c r="G63" s="13" t="str">
        <x:v>计算进度摘要</x:v>
      </x:c>
      <x:c r="H63" s="13" t="str">
        <x:v>percent/phase/completedSubjects/total</x:v>
      </x:c>
      <x:c r="I63" s="13" t="str">
        <x:v>百分比0–100且不倒退</x:v>
      </x:c>
      <x:c r="J63" s="13" t="str">
        <x:v>—</x:v>
      </x:c>
      <x:c r="K63" s="13" t="str">
        <x:v>待完成</x:v>
      </x:c>
      <x:c r="L63" s="13" t="str">
        <x:v>08-25～08-26</x:v>
      </x:c>
      <x:c r="M63" s="13" t="str">
        <x:v>—</x:v>
      </x:c>
      <x:c r="N63" s="13" t="str">
        <x:v>job/subject/variant/asset均为UUID；创建请求带idempotency_key；记录设置/Skill/模型版本</x:v>
      </x:c>
      <x:c r="O63" s="13" t="str">
        <x:v>job queued/processing/completed/partial/failed；variant queued/processing/completed/failed</x:v>
      </x:c>
      <x:c r="P63" s="13" t="str">
        <x:v>1–20主体、余额不足、内容拦截、超时、部分成功、刷新恢复</x:v>
      </x:c>
      <x:c r="Q63" s="13" t="str">
        <x:v>仅本人读任务；Worker服务端权限；模型密钥不下发</x:v>
      </x:c>
      <x:c r="R63" s="13" t="str">
        <x:v>建任务+扣点同事务；每用户1个活动任务；重投跳过完成variant；资产30天</x:v>
      </x:c>
    </x:row>
    <x:row r="64" ht="68" customHeight="1">
      <x:c r="A64" s="13" t="str">
        <x:v>第 1 期</x:v>
      </x:c>
      <x:c r="B64" s="13" t="str">
        <x:v>2. 图标设计与生成</x:v>
      </x:c>
      <x:c r="C64" s="13" t="str">
        <x:v>GEN-008</x:v>
      </x:c>
      <x:c r="D64" s="13" t="str">
        <x:v>任务详情与进度API</x:v>
      </x:c>
      <x:c r="E64" s="13" t="str">
        <x:v>BE-JOB-QUERY-08</x:v>
      </x:c>
      <x:c r="F64" s="13" t="str">
        <x:v>后端</x:v>
      </x:c>
      <x:c r="G64" s="13" t="str">
        <x:v>返回扣点返还摘要</x:v>
      </x:c>
      <x:c r="H64" s="13" t="str">
        <x:v>charged/refunded</x:v>
      </x:c>
      <x:c r="I64" s="13" t="str">
        <x:v>与账本聚合一致</x:v>
      </x:c>
      <x:c r="J64" s="13" t="str">
        <x:v>—</x:v>
      </x:c>
      <x:c r="K64" s="13" t="str">
        <x:v>待完成</x:v>
      </x:c>
      <x:c r="L64" s="13" t="str">
        <x:v>08-25～08-26</x:v>
      </x:c>
      <x:c r="M64" s="13" t="str">
        <x:v>—</x:v>
      </x:c>
      <x:c r="N64" s="13" t="str">
        <x:v>job/subject/variant/asset均为UUID；创建请求带idempotency_key；记录设置/Skill/模型版本</x:v>
      </x:c>
      <x:c r="O64" s="13" t="str">
        <x:v>job queued/processing/completed/partial/failed；variant queued/processing/completed/failed</x:v>
      </x:c>
      <x:c r="P64" s="13" t="str">
        <x:v>1–20主体、余额不足、内容拦截、超时、部分成功、刷新恢复</x:v>
      </x:c>
      <x:c r="Q64" s="13" t="str">
        <x:v>仅本人读任务；Worker服务端权限；模型密钥不下发</x:v>
      </x:c>
      <x:c r="R64" s="13" t="str">
        <x:v>建任务+扣点同事务；每用户1个活动任务；重投跳过完成variant；资产30天</x:v>
      </x:c>
    </x:row>
    <x:row r="65" ht="68" customHeight="1">
      <x:c r="A65" s="13" t="str">
        <x:v>第 1 期</x:v>
      </x:c>
      <x:c r="B65" s="13" t="str">
        <x:v>2. 图标设计与生成</x:v>
      </x:c>
      <x:c r="C65" s="13" t="str">
        <x:v>GEN-008</x:v>
      </x:c>
      <x:c r="D65" s="13" t="str">
        <x:v>任务详情与进度API</x:v>
      </x:c>
      <x:c r="E65" s="13" t="str">
        <x:v>BE-JOB-QUERY-09</x:v>
      </x:c>
      <x:c r="F65" s="13" t="str">
        <x:v>后端</x:v>
      </x:c>
      <x:c r="G65" s="13" t="str">
        <x:v>定义GET /api/generation/jobs/{jobId}稳定错误码</x:v>
      </x:c>
      <x:c r="H65" s="13" t="str">
        <x:v>错误枚举和HTTP映射</x:v>
      </x:c>
      <x:c r="I65" s="13" t="str">
        <x:v>前端无需解析内部错误正文</x:v>
      </x:c>
      <x:c r="J65" s="13" t="str">
        <x:v>BE-JOB-QUERY-02</x:v>
      </x:c>
      <x:c r="K65" s="13" t="str">
        <x:v>待完成</x:v>
      </x:c>
      <x:c r="L65" s="13" t="str">
        <x:v>08-25～08-26</x:v>
      </x:c>
      <x:c r="M65" s="13" t="str">
        <x:v>—</x:v>
      </x:c>
      <x:c r="N65" s="13" t="str">
        <x:v>job/subject/variant/asset均为UUID；创建请求带idempotency_key；记录设置/Skill/模型版本</x:v>
      </x:c>
      <x:c r="O65" s="13" t="str">
        <x:v>job queued/processing/completed/partial/failed；variant queued/processing/completed/failed</x:v>
      </x:c>
      <x:c r="P65" s="13" t="str">
        <x:v>1–20主体、余额不足、内容拦截、超时、部分成功、刷新恢复</x:v>
      </x:c>
      <x:c r="Q65" s="13" t="str">
        <x:v>仅本人读任务；Worker服务端权限；模型密钥不下发</x:v>
      </x:c>
      <x:c r="R65" s="13" t="str">
        <x:v>建任务+扣点同事务；每用户1个活动任务；重投跳过完成variant；资产30天</x:v>
      </x:c>
    </x:row>
    <x:row r="66" ht="68" customHeight="1">
      <x:c r="A66" s="13" t="str">
        <x:v>第 1 期</x:v>
      </x:c>
      <x:c r="B66" s="13" t="str">
        <x:v>2. 图标设计与生成</x:v>
      </x:c>
      <x:c r="C66" s="13" t="str">
        <x:v>GEN-008</x:v>
      </x:c>
      <x:c r="D66" s="13" t="str">
        <x:v>任务详情与进度API</x:v>
      </x:c>
      <x:c r="E66" s="13" t="str">
        <x:v>BE-JOB-QUERY-10</x:v>
      </x:c>
      <x:c r="F66" s="13" t="str">
        <x:v>后端</x:v>
      </x:c>
      <x:c r="G66" s="13" t="str">
        <x:v>编写GET /api/generation/jobs/{jobId}单元与集成测试</x:v>
      </x:c>
      <x:c r="H66" s="13" t="str">
        <x:v>成功/失败/重复/越权测试</x:v>
      </x:c>
      <x:c r="I66" s="13" t="str">
        <x:v>测试可重复运行且数据库副作用可核对</x:v>
      </x:c>
      <x:c r="J66" s="13" t="str">
        <x:v>—</x:v>
      </x:c>
      <x:c r="K66" s="13" t="str">
        <x:v>待完成</x:v>
      </x:c>
      <x:c r="L66" s="13" t="str">
        <x:v>08-25～08-26</x:v>
      </x:c>
      <x:c r="M66" s="13" t="str">
        <x:v>—</x:v>
      </x:c>
      <x:c r="N66" s="13" t="str">
        <x:v>job/subject/variant/asset均为UUID；创建请求带idempotency_key；记录设置/Skill/模型版本</x:v>
      </x:c>
      <x:c r="O66" s="13" t="str">
        <x:v>job queued/processing/completed/partial/failed；variant queued/processing/completed/failed</x:v>
      </x:c>
      <x:c r="P66" s="13" t="str">
        <x:v>1–20主体、余额不足、内容拦截、超时、部分成功、刷新恢复</x:v>
      </x:c>
      <x:c r="Q66" s="13" t="str">
        <x:v>仅本人读任务；Worker服务端权限；模型密钥不下发</x:v>
      </x:c>
      <x:c r="R66" s="13" t="str">
        <x:v>建任务+扣点同事务；每用户1个活动任务；重投跳过完成variant；资产30天</x:v>
      </x:c>
    </x:row>
    <x:row r="67" ht="68" customHeight="1">
      <x:c r="A67" s="13" t="str">
        <x:v>第 1 期</x:v>
      </x:c>
      <x:c r="B67" s="13" t="str">
        <x:v>2. 图标设计与生成</x:v>
      </x:c>
      <x:c r="C67" s="13" t="str">
        <x:v>GEN-008</x:v>
      </x:c>
      <x:c r="D67" s="13" t="str">
        <x:v>任务详情与进度API</x:v>
      </x:c>
      <x:c r="E67" s="13" t="str">
        <x:v>BE-JOB-QUERY-11</x:v>
      </x:c>
      <x:c r="F67" s="13" t="str">
        <x:v>后端</x:v>
      </x:c>
      <x:c r="G67" s="13" t="str">
        <x:v>更新GET /api/generation/jobs/{jobId}接口文档</x:v>
      </x:c>
      <x:c r="H67" s="13" t="str">
        <x:v>请求、响应、错误、鉴权和示例</x:v>
      </x:c>
      <x:c r="I67" s="13" t="str">
        <x:v>前端可仅依据文档完成联调</x:v>
      </x:c>
      <x:c r="J67" s="13" t="str">
        <x:v>—</x:v>
      </x:c>
      <x:c r="K67" s="13" t="str">
        <x:v>待完成</x:v>
      </x:c>
      <x:c r="L67" s="13" t="str">
        <x:v>08-25～08-26</x:v>
      </x:c>
      <x:c r="M67" s="13" t="str">
        <x:v>—</x:v>
      </x:c>
      <x:c r="N67" s="13" t="str">
        <x:v>job/subject/variant/asset均为UUID；创建请求带idempotency_key；记录设置/Skill/模型版本</x:v>
      </x:c>
      <x:c r="O67" s="13" t="str">
        <x:v>job queued/processing/completed/partial/failed；variant queued/processing/completed/failed</x:v>
      </x:c>
      <x:c r="P67" s="13" t="str">
        <x:v>1–20主体、余额不足、内容拦截、超时、部分成功、刷新恢复</x:v>
      </x:c>
      <x:c r="Q67" s="13" t="str">
        <x:v>仅本人读任务；Worker服务端权限；模型密钥不下发</x:v>
      </x:c>
      <x:c r="R67" s="13" t="str">
        <x:v>建任务+扣点同事务；每用户1个活动任务；重投跳过完成variant；资产30天</x:v>
      </x:c>
    </x:row>
    <x:row r="68" ht="68" customHeight="1">
      <x:c r="A68" s="13" t="str">
        <x:v>第 1 期</x:v>
      </x:c>
      <x:c r="B68" s="13" t="str">
        <x:v>2. 图标设计与生成</x:v>
      </x:c>
      <x:c r="C68" s="13" t="str">
        <x:v>GEN-008/009</x:v>
      </x:c>
      <x:c r="D68" s="13" t="str">
        <x:v>多主体×3 Worker</x:v>
      </x:c>
      <x:c r="E68" s="13" t="str">
        <x:v>BE-WORKER-01</x:v>
      </x:c>
      <x:c r="F68" s="13" t="str">
        <x:v>后端</x:v>
      </x:c>
      <x:c r="G68" s="13" t="str">
        <x:v>解析SQS v2消息</x:v>
      </x:c>
      <x:c r="H68" s="13" t="str">
        <x:v>version/jobId/requestedAt</x:v>
      </x:c>
      <x:c r="I68" s="13" t="str">
        <x:v>非法消息进入失败处理</x:v>
      </x:c>
      <x:c r="J68" s="13" t="str">
        <x:v>—</x:v>
      </x:c>
      <x:c r="K68" s="13" t="str">
        <x:v>已完成</x:v>
      </x:c>
      <x:c r="L68" s="13" t="str">
        <x:v>08-23～08-25</x:v>
      </x:c>
      <x:c r="M68" s="13" t="str">
        <x:v>2026-08-20</x:v>
      </x:c>
      <x:c r="N68" s="13" t="str">
        <x:v>job/subject/variant/asset均为UUID；创建请求带idempotency_key；记录设置/Skill/模型版本</x:v>
      </x:c>
      <x:c r="O68" s="13" t="str">
        <x:v>job queued/processing/completed/partial/failed；variant queued/processing/completed/failed</x:v>
      </x:c>
      <x:c r="P68" s="13" t="str">
        <x:v>1–20主体、余额不足、内容拦截、超时、部分成功、刷新恢复</x:v>
      </x:c>
      <x:c r="Q68" s="13" t="str">
        <x:v>仅本人读任务；Worker服务端权限；模型密钥不下发</x:v>
      </x:c>
      <x:c r="R68" s="13" t="str">
        <x:v>建任务+扣点同事务；每用户1个活动任务；重投跳过完成variant；资产30天</x:v>
      </x:c>
    </x:row>
    <x:row r="69" ht="68" customHeight="1">
      <x:c r="A69" s="13" t="str">
        <x:v>第 1 期</x:v>
      </x:c>
      <x:c r="B69" s="13" t="str">
        <x:v>2. 图标设计与生成</x:v>
      </x:c>
      <x:c r="C69" s="13" t="str">
        <x:v>GEN-008/009</x:v>
      </x:c>
      <x:c r="D69" s="13" t="str">
        <x:v>多主体×3 Worker</x:v>
      </x:c>
      <x:c r="E69" s="13" t="str">
        <x:v>BE-WORKER-02</x:v>
      </x:c>
      <x:c r="F69" s="13" t="str">
        <x:v>后端</x:v>
      </x:c>
      <x:c r="G69" s="13" t="str">
        <x:v>领取queued任务</x:v>
      </x:c>
      <x:c r="H69" s="13" t="str">
        <x:v>原子claim并记录执行版本</x:v>
      </x:c>
      <x:c r="I69" s="13" t="str">
        <x:v>同一任务不可被两个Worker同时领取</x:v>
      </x:c>
      <x:c r="J69" s="13" t="str">
        <x:v>—</x:v>
      </x:c>
      <x:c r="K69" s="13" t="str">
        <x:v>已完成</x:v>
      </x:c>
      <x:c r="L69" s="13" t="str">
        <x:v>08-23～08-25</x:v>
      </x:c>
      <x:c r="M69" s="13" t="str">
        <x:v>2026-08-20</x:v>
      </x:c>
      <x:c r="N69" s="13" t="str">
        <x:v>job/subject/variant/asset均为UUID；创建请求带idempotency_key；记录设置/Skill/模型版本</x:v>
      </x:c>
      <x:c r="O69" s="13" t="str">
        <x:v>job queued/processing/completed/partial/failed；variant queued/processing/completed/failed</x:v>
      </x:c>
      <x:c r="P69" s="13" t="str">
        <x:v>1–20主体、余额不足、内容拦截、超时、部分成功、刷新恢复</x:v>
      </x:c>
      <x:c r="Q69" s="13" t="str">
        <x:v>仅本人读任务；Worker服务端权限；模型密钥不下发</x:v>
      </x:c>
      <x:c r="R69" s="13" t="str">
        <x:v>建任务+扣点同事务；每用户1个活动任务；重投跳过完成variant；资产30天</x:v>
      </x:c>
    </x:row>
    <x:row r="70" ht="68" customHeight="1">
      <x:c r="A70" s="13" t="str">
        <x:v>第 1 期</x:v>
      </x:c>
      <x:c r="B70" s="13" t="str">
        <x:v>2. 图标设计与生成</x:v>
      </x:c>
      <x:c r="C70" s="13" t="str">
        <x:v>GEN-008/009</x:v>
      </x:c>
      <x:c r="D70" s="13" t="str">
        <x:v>多主体×3 Worker</x:v>
      </x:c>
      <x:c r="E70" s="13" t="str">
        <x:v>BE-WORKER-03</x:v>
      </x:c>
      <x:c r="F70" s="13" t="str">
        <x:v>后端</x:v>
      </x:c>
      <x:c r="G70" s="13" t="str">
        <x:v>读取subjects和variants</x:v>
      </x:c>
      <x:c r="H70" s="13" t="str">
        <x:v>按position/slot排序</x:v>
      </x:c>
      <x:c r="I70" s="13" t="str">
        <x:v>必须每主体3个variant</x:v>
      </x:c>
      <x:c r="J70" s="13" t="str">
        <x:v>—</x:v>
      </x:c>
      <x:c r="K70" s="13" t="str">
        <x:v>已完成</x:v>
      </x:c>
      <x:c r="L70" s="13" t="str">
        <x:v>08-23～08-25</x:v>
      </x:c>
      <x:c r="M70" s="13" t="str">
        <x:v>2026-08-20</x:v>
      </x:c>
      <x:c r="N70" s="13" t="str">
        <x:v>job/subject/variant/asset均为UUID；创建请求带idempotency_key；记录设置/Skill/模型版本</x:v>
      </x:c>
      <x:c r="O70" s="13" t="str">
        <x:v>job queued/processing/completed/partial/failed；variant queued/processing/completed/failed</x:v>
      </x:c>
      <x:c r="P70" s="13" t="str">
        <x:v>1–20主体、余额不足、内容拦截、超时、部分成功、刷新恢复</x:v>
      </x:c>
      <x:c r="Q70" s="13" t="str">
        <x:v>仅本人读任务；Worker服务端权限；模型密钥不下发</x:v>
      </x:c>
      <x:c r="R70" s="13" t="str">
        <x:v>建任务+扣点同事务；每用户1个活动任务；重投跳过完成variant；资产30天</x:v>
      </x:c>
    </x:row>
    <x:row r="71" ht="68" customHeight="1">
      <x:c r="A71" s="13" t="str">
        <x:v>第 1 期</x:v>
      </x:c>
      <x:c r="B71" s="13" t="str">
        <x:v>2. 图标设计与生成</x:v>
      </x:c>
      <x:c r="C71" s="13" t="str">
        <x:v>GEN-008/009</x:v>
      </x:c>
      <x:c r="D71" s="13" t="str">
        <x:v>多主体×3 Worker</x:v>
      </x:c>
      <x:c r="E71" s="13" t="str">
        <x:v>BE-WORKER-04</x:v>
      </x:c>
      <x:c r="F71" s="13" t="str">
        <x:v>后端</x:v>
      </x:c>
      <x:c r="G71" s="13" t="str">
        <x:v>跳过completed variant</x:v>
      </x:c>
      <x:c r="H71" s="13" t="str">
        <x:v>重入检查</x:v>
      </x:c>
      <x:c r="I71" s="13" t="str">
        <x:v>队列重投不重新生成成功单元</x:v>
      </x:c>
      <x:c r="J71" s="13" t="str">
        <x:v>—</x:v>
      </x:c>
      <x:c r="K71" s="13" t="str">
        <x:v>已完成</x:v>
      </x:c>
      <x:c r="L71" s="13" t="str">
        <x:v>08-23～08-25</x:v>
      </x:c>
      <x:c r="M71" s="13" t="str">
        <x:v>2026-08-20</x:v>
      </x:c>
      <x:c r="N71" s="13" t="str">
        <x:v>job/subject/variant/asset均为UUID；创建请求带idempotency_key；记录设置/Skill/模型版本</x:v>
      </x:c>
      <x:c r="O71" s="13" t="str">
        <x:v>job queued/processing/completed/partial/failed；variant queued/processing/completed/failed</x:v>
      </x:c>
      <x:c r="P71" s="13" t="str">
        <x:v>1–20主体、余额不足、内容拦截、超时、部分成功、刷新恢复</x:v>
      </x:c>
      <x:c r="Q71" s="13" t="str">
        <x:v>仅本人读任务；Worker服务端权限；模型密钥不下发</x:v>
      </x:c>
      <x:c r="R71" s="13" t="str">
        <x:v>建任务+扣点同事务；每用户1个活动任务；重投跳过完成variant；资产30天</x:v>
      </x:c>
    </x:row>
    <x:row r="72" ht="68" customHeight="1">
      <x:c r="A72" s="13" t="str">
        <x:v>第 1 期</x:v>
      </x:c>
      <x:c r="B72" s="13" t="str">
        <x:v>2. 图标设计与生成</x:v>
      </x:c>
      <x:c r="C72" s="13" t="str">
        <x:v>GEN-008/009</x:v>
      </x:c>
      <x:c r="D72" s="13" t="str">
        <x:v>多主体×3 Worker</x:v>
      </x:c>
      <x:c r="E72" s="13" t="str">
        <x:v>BE-WORKER-05</x:v>
      </x:c>
      <x:c r="F72" s="13" t="str">
        <x:v>后端</x:v>
      </x:c>
      <x:c r="G72" s="13" t="str">
        <x:v>逐variant标记processing</x:v>
      </x:c>
      <x:c r="H72" s="13" t="str">
        <x:v>started_at更新</x:v>
      </x:c>
      <x:c r="I72" s="13" t="str">
        <x:v>非法状态转换失败</x:v>
      </x:c>
      <x:c r="J72" s="13" t="str">
        <x:v>—</x:v>
      </x:c>
      <x:c r="K72" s="13" t="str">
        <x:v>已完成</x:v>
      </x:c>
      <x:c r="L72" s="13" t="str">
        <x:v>08-23～08-25</x:v>
      </x:c>
      <x:c r="M72" s="13" t="str">
        <x:v>2026-08-20</x:v>
      </x:c>
      <x:c r="N72" s="13" t="str">
        <x:v>job/subject/variant/asset均为UUID；创建请求带idempotency_key；记录设置/Skill/模型版本</x:v>
      </x:c>
      <x:c r="O72" s="13" t="str">
        <x:v>job queued/processing/completed/partial/failed；variant queued/processing/completed/failed</x:v>
      </x:c>
      <x:c r="P72" s="13" t="str">
        <x:v>1–20主体、余额不足、内容拦截、超时、部分成功、刷新恢复</x:v>
      </x:c>
      <x:c r="Q72" s="13" t="str">
        <x:v>仅本人读任务；Worker服务端权限；模型密钥不下发</x:v>
      </x:c>
      <x:c r="R72" s="13" t="str">
        <x:v>建任务+扣点同事务；每用户1个活动任务；重投跳过完成variant；资产30天</x:v>
      </x:c>
    </x:row>
    <x:row r="73" ht="68" customHeight="1">
      <x:c r="A73" s="13" t="str">
        <x:v>第 1 期</x:v>
      </x:c>
      <x:c r="B73" s="13" t="str">
        <x:v>2. 图标设计与生成</x:v>
      </x:c>
      <x:c r="C73" s="13" t="str">
        <x:v>GEN-008/009</x:v>
      </x:c>
      <x:c r="D73" s="13" t="str">
        <x:v>多主体×3 Worker</x:v>
      </x:c>
      <x:c r="E73" s="13" t="str">
        <x:v>BE-WORKER-06</x:v>
      </x:c>
      <x:c r="F73" s="13" t="str">
        <x:v>后端</x:v>
      </x:c>
      <x:c r="G73" s="13" t="str">
        <x:v>编译主体提示词</x:v>
      </x:c>
      <x:c r="H73" s="13" t="str">
        <x:v>主体+颜色+背景+25项+slot</x:v>
      </x:c>
      <x:c r="I73" s="13" t="str">
        <x:v>不生成App Store图标</x:v>
      </x:c>
      <x:c r="J73" s="13" t="str">
        <x:v>—</x:v>
      </x:c>
      <x:c r="K73" s="13" t="str">
        <x:v>已完成</x:v>
      </x:c>
      <x:c r="L73" s="13" t="str">
        <x:v>08-23～08-25</x:v>
      </x:c>
      <x:c r="M73" s="13" t="str">
        <x:v>2026-08-20</x:v>
      </x:c>
      <x:c r="N73" s="13" t="str">
        <x:v>job/subject/variant/asset均为UUID；创建请求带idempotency_key；记录设置/Skill/模型版本</x:v>
      </x:c>
      <x:c r="O73" s="13" t="str">
        <x:v>job queued/processing/completed/partial/failed；variant queued/processing/completed/failed</x:v>
      </x:c>
      <x:c r="P73" s="13" t="str">
        <x:v>1–20主体、余额不足、内容拦截、超时、部分成功、刷新恢复</x:v>
      </x:c>
      <x:c r="Q73" s="13" t="str">
        <x:v>仅本人读任务；Worker服务端权限；模型密钥不下发</x:v>
      </x:c>
      <x:c r="R73" s="13" t="str">
        <x:v>建任务+扣点同事务；每用户1个活动任务；重投跳过完成variant；资产30天</x:v>
      </x:c>
    </x:row>
    <x:row r="74" ht="68" customHeight="1">
      <x:c r="A74" s="13" t="str">
        <x:v>第 1 期</x:v>
      </x:c>
      <x:c r="B74" s="13" t="str">
        <x:v>2. 图标设计与生成</x:v>
      </x:c>
      <x:c r="C74" s="13" t="str">
        <x:v>GEN-008/009</x:v>
      </x:c>
      <x:c r="D74" s="13" t="str">
        <x:v>多主体×3 Worker</x:v>
      </x:c>
      <x:c r="E74" s="13" t="str">
        <x:v>BE-WORKER-07</x:v>
      </x:c>
      <x:c r="F74" s="13" t="str">
        <x:v>后端</x:v>
      </x:c>
      <x:c r="G74" s="13" t="str">
        <x:v>调用Image Provider</x:v>
      </x:c>
      <x:c r="H74" s="13" t="str">
        <x:v>prompt、model、quality</x:v>
      </x:c>
      <x:c r="I74" s="13" t="str">
        <x:v>记录provider request ID</x:v>
      </x:c>
      <x:c r="J74" s="13" t="str">
        <x:v>—</x:v>
      </x:c>
      <x:c r="K74" s="13" t="str">
        <x:v>已完成</x:v>
      </x:c>
      <x:c r="L74" s="13" t="str">
        <x:v>08-23～08-25</x:v>
      </x:c>
      <x:c r="M74" s="13" t="str">
        <x:v>2026-08-20</x:v>
      </x:c>
      <x:c r="N74" s="13" t="str">
        <x:v>job/subject/variant/asset均为UUID；创建请求带idempotency_key；记录设置/Skill/模型版本</x:v>
      </x:c>
      <x:c r="O74" s="13" t="str">
        <x:v>job queued/processing/completed/partial/failed；variant queued/processing/completed/failed</x:v>
      </x:c>
      <x:c r="P74" s="13" t="str">
        <x:v>1–20主体、余额不足、内容拦截、超时、部分成功、刷新恢复</x:v>
      </x:c>
      <x:c r="Q74" s="13" t="str">
        <x:v>仅本人读任务；Worker服务端权限；模型密钥不下发</x:v>
      </x:c>
      <x:c r="R74" s="13" t="str">
        <x:v>建任务+扣点同事务；每用户1个活动任务；重投跳过完成variant；资产30天</x:v>
      </x:c>
    </x:row>
    <x:row r="75" ht="68" customHeight="1">
      <x:c r="A75" s="13" t="str">
        <x:v>第 1 期</x:v>
      </x:c>
      <x:c r="B75" s="13" t="str">
        <x:v>2. 图标设计与生成</x:v>
      </x:c>
      <x:c r="C75" s="13" t="str">
        <x:v>GEN-008/009</x:v>
      </x:c>
      <x:c r="D75" s="13" t="str">
        <x:v>多主体×3 Worker</x:v>
      </x:c>
      <x:c r="E75" s="13" t="str">
        <x:v>BE-WORKER-08</x:v>
      </x:c>
      <x:c r="F75" s="13" t="str">
        <x:v>后端</x:v>
      </x:c>
      <x:c r="G75" s="13" t="str">
        <x:v>保存variant资产记录</x:v>
      </x:c>
      <x:c r="H75" s="13" t="str">
        <x:v>variant+size唯一</x:v>
      </x:c>
      <x:c r="I75" s="13" t="str">
        <x:v>重复保存upsert不产生重复行</x:v>
      </x:c>
      <x:c r="J75" s="13" t="str">
        <x:v>—</x:v>
      </x:c>
      <x:c r="K75" s="13" t="str">
        <x:v>已完成</x:v>
      </x:c>
      <x:c r="L75" s="13" t="str">
        <x:v>08-23～08-25</x:v>
      </x:c>
      <x:c r="M75" s="13" t="str">
        <x:v>2026-08-20</x:v>
      </x:c>
      <x:c r="N75" s="13" t="str">
        <x:v>job/subject/variant/asset均为UUID；创建请求带idempotency_key；记录设置/Skill/模型版本</x:v>
      </x:c>
      <x:c r="O75" s="13" t="str">
        <x:v>job queued/processing/completed/partial/failed；variant queued/processing/completed/failed</x:v>
      </x:c>
      <x:c r="P75" s="13" t="str">
        <x:v>1–20主体、余额不足、内容拦截、超时、部分成功、刷新恢复</x:v>
      </x:c>
      <x:c r="Q75" s="13" t="str">
        <x:v>仅本人读任务；Worker服务端权限；模型密钥不下发</x:v>
      </x:c>
      <x:c r="R75" s="13" t="str">
        <x:v>建任务+扣点同事务；每用户1个活动任务；重投跳过完成variant；资产30天</x:v>
      </x:c>
    </x:row>
    <x:row r="76" ht="68" customHeight="1">
      <x:c r="A76" s="13" t="str">
        <x:v>第 1 期</x:v>
      </x:c>
      <x:c r="B76" s="13" t="str">
        <x:v>2. 图标设计与生成</x:v>
      </x:c>
      <x:c r="C76" s="13" t="str">
        <x:v>GEN-008/009</x:v>
      </x:c>
      <x:c r="D76" s="13" t="str">
        <x:v>多主体×3 Worker</x:v>
      </x:c>
      <x:c r="E76" s="13" t="str">
        <x:v>BE-WORKER-09</x:v>
      </x:c>
      <x:c r="F76" s="13" t="str">
        <x:v>后端</x:v>
      </x:c>
      <x:c r="G76" s="13" t="str">
        <x:v>标记variant完成</x:v>
      </x:c>
      <x:c r="H76" s="13" t="str">
        <x:v>prompt和执行版本写入</x:v>
      </x:c>
      <x:c r="I76" s="13" t="str">
        <x:v>完成后不可被普通重试覆盖</x:v>
      </x:c>
      <x:c r="J76" s="13" t="str">
        <x:v>—</x:v>
      </x:c>
      <x:c r="K76" s="13" t="str">
        <x:v>已完成</x:v>
      </x:c>
      <x:c r="L76" s="13" t="str">
        <x:v>08-23～08-25</x:v>
      </x:c>
      <x:c r="M76" s="13" t="str">
        <x:v>2026-08-20</x:v>
      </x:c>
      <x:c r="N76" s="13" t="str">
        <x:v>job/subject/variant/asset均为UUID；创建请求带idempotency_key；记录设置/Skill/模型版本</x:v>
      </x:c>
      <x:c r="O76" s="13" t="str">
        <x:v>job queued/processing/completed/partial/failed；variant queued/processing/completed/failed</x:v>
      </x:c>
      <x:c r="P76" s="13" t="str">
        <x:v>1–20主体、余额不足、内容拦截、超时、部分成功、刷新恢复</x:v>
      </x:c>
      <x:c r="Q76" s="13" t="str">
        <x:v>仅本人读任务；Worker服务端权限；模型密钥不下发</x:v>
      </x:c>
      <x:c r="R76" s="13" t="str">
        <x:v>建任务+扣点同事务；每用户1个活动任务；重投跳过完成variant；资产30天</x:v>
      </x:c>
    </x:row>
    <x:row r="77" ht="68" customHeight="1">
      <x:c r="A77" s="13" t="str">
        <x:v>第 1 期</x:v>
      </x:c>
      <x:c r="B77" s="13" t="str">
        <x:v>2. 图标设计与生成</x:v>
      </x:c>
      <x:c r="C77" s="13" t="str">
        <x:v>GEN-008/009</x:v>
      </x:c>
      <x:c r="D77" s="13" t="str">
        <x:v>多主体×3 Worker</x:v>
      </x:c>
      <x:c r="E77" s="13" t="str">
        <x:v>BE-WORKER-10</x:v>
      </x:c>
      <x:c r="F77" s="13" t="str">
        <x:v>后端</x:v>
      </x:c>
      <x:c r="G77" s="13" t="str">
        <x:v>更新job进度</x:v>
      </x:c>
      <x:c r="H77" s="13" t="str">
        <x:v>completed units/total units</x:v>
      </x:c>
      <x:c r="I77" s="13" t="str">
        <x:v>进度单调递增</x:v>
      </x:c>
      <x:c r="J77" s="13" t="str">
        <x:v>—</x:v>
      </x:c>
      <x:c r="K77" s="13" t="str">
        <x:v>已完成</x:v>
      </x:c>
      <x:c r="L77" s="13" t="str">
        <x:v>08-23～08-25</x:v>
      </x:c>
      <x:c r="M77" s="13" t="str">
        <x:v>2026-08-20</x:v>
      </x:c>
      <x:c r="N77" s="13" t="str">
        <x:v>job/subject/variant/asset均为UUID；创建请求带idempotency_key；记录设置/Skill/模型版本</x:v>
      </x:c>
      <x:c r="O77" s="13" t="str">
        <x:v>job queued/processing/completed/partial/failed；variant queued/processing/completed/failed</x:v>
      </x:c>
      <x:c r="P77" s="13" t="str">
        <x:v>1–20主体、余额不足、内容拦截、超时、部分成功、刷新恢复</x:v>
      </x:c>
      <x:c r="Q77" s="13" t="str">
        <x:v>仅本人读任务；Worker服务端权限；模型密钥不下发</x:v>
      </x:c>
      <x:c r="R77" s="13" t="str">
        <x:v>建任务+扣点同事务；每用户1个活动任务；重投跳过完成variant；资产30天</x:v>
      </x:c>
    </x:row>
    <x:row r="78" ht="68" customHeight="1">
      <x:c r="A78" s="13" t="str">
        <x:v>第 1 期</x:v>
      </x:c>
      <x:c r="B78" s="13" t="str">
        <x:v>2. 图标设计与生成</x:v>
      </x:c>
      <x:c r="C78" s="13" t="str">
        <x:v>GEN-008/009</x:v>
      </x:c>
      <x:c r="D78" s="13" t="str">
        <x:v>多主体×3 Worker</x:v>
      </x:c>
      <x:c r="E78" s="13" t="str">
        <x:v>BE-WORKER-11</x:v>
      </x:c>
      <x:c r="F78" s="13" t="str">
        <x:v>后端</x:v>
      </x:c>
      <x:c r="G78" s="13" t="str">
        <x:v>全部成功完成job</x:v>
      </x:c>
      <x:c r="H78" s="13" t="str">
        <x:v>status completed+100%</x:v>
      </x:c>
      <x:c r="I78" s="13" t="str">
        <x:v>仅全部variant完成时执行</x:v>
      </x:c>
      <x:c r="J78" s="13" t="str">
        <x:v>—</x:v>
      </x:c>
      <x:c r="K78" s="13" t="str">
        <x:v>已完成</x:v>
      </x:c>
      <x:c r="L78" s="13" t="str">
        <x:v>08-23～08-25</x:v>
      </x:c>
      <x:c r="M78" s="13" t="str">
        <x:v>2026-08-20</x:v>
      </x:c>
      <x:c r="N78" s="13" t="str">
        <x:v>job/subject/variant/asset均为UUID；创建请求带idempotency_key；记录设置/Skill/模型版本</x:v>
      </x:c>
      <x:c r="O78" s="13" t="str">
        <x:v>job queued/processing/completed/partial/failed；variant queued/processing/completed/failed</x:v>
      </x:c>
      <x:c r="P78" s="13" t="str">
        <x:v>1–20主体、余额不足、内容拦截、超时、部分成功、刷新恢复</x:v>
      </x:c>
      <x:c r="Q78" s="13" t="str">
        <x:v>仅本人读任务；Worker服务端权限；模型密钥不下发</x:v>
      </x:c>
      <x:c r="R78" s="13" t="str">
        <x:v>建任务+扣点同事务；每用户1个活动任务；重投跳过完成variant；资产30天</x:v>
      </x:c>
    </x:row>
    <x:row r="79" ht="68" customHeight="1">
      <x:c r="A79" s="13" t="str">
        <x:v>第 1 期</x:v>
      </x:c>
      <x:c r="B79" s="13" t="str">
        <x:v>2. 图标设计与生成</x:v>
      </x:c>
      <x:c r="C79" s="13" t="str">
        <x:v>GEN-009</x:v>
      </x:c>
      <x:c r="D79" s="13" t="str">
        <x:v>UI图标Skill</x:v>
      </x:c>
      <x:c r="E79" s="13" t="str">
        <x:v>BE-SKILL-01</x:v>
      </x:c>
      <x:c r="F79" s="13" t="str">
        <x:v>后端</x:v>
      </x:c>
      <x:c r="G79" s="13" t="str">
        <x:v>定义可替换Skill接口</x:v>
      </x:c>
      <x:c r="H79" s="13" t="str">
        <x:v>name/version/compile</x:v>
      </x:c>
      <x:c r="I79" s="13" t="str">
        <x:v>Worker只依赖接口</x:v>
      </x:c>
      <x:c r="J79" s="13" t="str">
        <x:v>—</x:v>
      </x:c>
      <x:c r="K79" s="13" t="str">
        <x:v>已完成</x:v>
      </x:c>
      <x:c r="L79" s="13" t="str">
        <x:v>08-23～08-25</x:v>
      </x:c>
      <x:c r="M79" s="13" t="str">
        <x:v>2026-08-20</x:v>
      </x:c>
      <x:c r="N79" s="13" t="str">
        <x:v>job/subject/variant/asset均为UUID；创建请求带idempotency_key；记录设置/Skill/模型版本</x:v>
      </x:c>
      <x:c r="O79" s="13" t="str">
        <x:v>job queued/processing/completed/partial/failed；variant queued/processing/completed/failed</x:v>
      </x:c>
      <x:c r="P79" s="13" t="str">
        <x:v>1–20主体、余额不足、内容拦截、超时、部分成功、刷新恢复</x:v>
      </x:c>
      <x:c r="Q79" s="13" t="str">
        <x:v>仅本人读任务；Worker服务端权限；模型密钥不下发</x:v>
      </x:c>
      <x:c r="R79" s="13" t="str">
        <x:v>建任务+扣点同事务；每用户1个活动任务；重投跳过完成variant；资产30天</x:v>
      </x:c>
    </x:row>
    <x:row r="80" ht="68" customHeight="1">
      <x:c r="A80" s="13" t="str">
        <x:v>第 1 期</x:v>
      </x:c>
      <x:c r="B80" s="13" t="str">
        <x:v>2. 图标设计与生成</x:v>
      </x:c>
      <x:c r="C80" s="13" t="str">
        <x:v>GEN-009</x:v>
      </x:c>
      <x:c r="D80" s="13" t="str">
        <x:v>UI图标Skill</x:v>
      </x:c>
      <x:c r="E80" s="13" t="str">
        <x:v>BE-SKILL-02</x:v>
      </x:c>
      <x:c r="F80" s="13" t="str">
        <x:v>后端</x:v>
      </x:c>
      <x:c r="G80" s="13" t="str">
        <x:v>实现default-ui-icon注册</x:v>
      </x:c>
      <x:c r="H80" s="13" t="str">
        <x:v>Skill registry</x:v>
      </x:c>
      <x:c r="I80" s="13" t="str">
        <x:v>未知Skill启动失败</x:v>
      </x:c>
      <x:c r="J80" s="13" t="str">
        <x:v>—</x:v>
      </x:c>
      <x:c r="K80" s="13" t="str">
        <x:v>已完成</x:v>
      </x:c>
      <x:c r="L80" s="13" t="str">
        <x:v>08-23～08-25</x:v>
      </x:c>
      <x:c r="M80" s="13" t="str">
        <x:v>2026-08-20</x:v>
      </x:c>
      <x:c r="N80" s="13" t="str">
        <x:v>job/subject/variant/asset均为UUID；创建请求带idempotency_key；记录设置/Skill/模型版本</x:v>
      </x:c>
      <x:c r="O80" s="13" t="str">
        <x:v>job queued/processing/completed/partial/failed；variant queued/processing/completed/failed</x:v>
      </x:c>
      <x:c r="P80" s="13" t="str">
        <x:v>1–20主体、余额不足、内容拦截、超时、部分成功、刷新恢复</x:v>
      </x:c>
      <x:c r="Q80" s="13" t="str">
        <x:v>仅本人读任务；Worker服务端权限；模型密钥不下发</x:v>
      </x:c>
      <x:c r="R80" s="13" t="str">
        <x:v>建任务+扣点同事务；每用户1个活动任务；重投跳过完成variant；资产30天</x:v>
      </x:c>
    </x:row>
    <x:row r="81" ht="68" customHeight="1">
      <x:c r="A81" s="13" t="str">
        <x:v>第 1 期</x:v>
      </x:c>
      <x:c r="B81" s="13" t="str">
        <x:v>2. 图标设计与生成</x:v>
      </x:c>
      <x:c r="C81" s="13" t="str">
        <x:v>GEN-009</x:v>
      </x:c>
      <x:c r="D81" s="13" t="str">
        <x:v>UI图标Skill</x:v>
      </x:c>
      <x:c r="E81" s="13" t="str">
        <x:v>BE-SKILL-03</x:v>
      </x:c>
      <x:c r="F81" s="13" t="str">
        <x:v>后端</x:v>
      </x:c>
      <x:c r="G81" s="13" t="str">
        <x:v>生成批次一致性约束</x:v>
      </x:c>
      <x:c r="H81" s="13" t="str">
        <x:v>统一结构/笔触/颜色/视角</x:v>
      </x:c>
      <x:c r="I81" s="13" t="str">
        <x:v>同批主体保持一致视觉语言</x:v>
      </x:c>
      <x:c r="J81" s="13" t="str">
        <x:v>—</x:v>
      </x:c>
      <x:c r="K81" s="13" t="str">
        <x:v>已完成</x:v>
      </x:c>
      <x:c r="L81" s="13" t="str">
        <x:v>08-23～08-25</x:v>
      </x:c>
      <x:c r="M81" s="13" t="str">
        <x:v>2026-08-20</x:v>
      </x:c>
      <x:c r="N81" s="13" t="str">
        <x:v>job/subject/variant/asset均为UUID；创建请求带idempotency_key；记录设置/Skill/模型版本</x:v>
      </x:c>
      <x:c r="O81" s="13" t="str">
        <x:v>job queued/processing/completed/partial/failed；variant queued/processing/completed/failed</x:v>
      </x:c>
      <x:c r="P81" s="13" t="str">
        <x:v>1–20主体、余额不足、内容拦截、超时、部分成功、刷新恢复</x:v>
      </x:c>
      <x:c r="Q81" s="13" t="str">
        <x:v>仅本人读任务；Worker服务端权限；模型密钥不下发</x:v>
      </x:c>
      <x:c r="R81" s="13" t="str">
        <x:v>建任务+扣点同事务；每用户1个活动任务；重投跳过完成variant；资产30天</x:v>
      </x:c>
    </x:row>
    <x:row r="82" ht="68" customHeight="1">
      <x:c r="A82" s="13" t="str">
        <x:v>第 1 期</x:v>
      </x:c>
      <x:c r="B82" s="13" t="str">
        <x:v>2. 图标设计与生成</x:v>
      </x:c>
      <x:c r="C82" s="13" t="str">
        <x:v>GEN-009</x:v>
      </x:c>
      <x:c r="D82" s="13" t="str">
        <x:v>UI图标Skill</x:v>
      </x:c>
      <x:c r="E82" s="13" t="str">
        <x:v>BE-SKILL-04</x:v>
      </x:c>
      <x:c r="F82" s="13" t="str">
        <x:v>后端</x:v>
      </x:c>
      <x:c r="G82" s="13" t="str">
        <x:v>生成3个方向差异</x:v>
      </x:c>
      <x:c r="H82" s="13" t="str">
        <x:v>slot对应构图/隐喻方向</x:v>
      </x:c>
      <x:c r="I82" s="13" t="str">
        <x:v>仅方向变化不破坏风格锁定</x:v>
      </x:c>
      <x:c r="J82" s="13" t="str">
        <x:v>—</x:v>
      </x:c>
      <x:c r="K82" s="13" t="str">
        <x:v>已完成</x:v>
      </x:c>
      <x:c r="L82" s="13" t="str">
        <x:v>08-23～08-25</x:v>
      </x:c>
      <x:c r="M82" s="13" t="str">
        <x:v>2026-08-20</x:v>
      </x:c>
      <x:c r="N82" s="13" t="str">
        <x:v>job/subject/variant/asset均为UUID；创建请求带idempotency_key；记录设置/Skill/模型版本</x:v>
      </x:c>
      <x:c r="O82" s="13" t="str">
        <x:v>job queued/processing/completed/partial/failed；variant queued/processing/completed/failed</x:v>
      </x:c>
      <x:c r="P82" s="13" t="str">
        <x:v>1–20主体、余额不足、内容拦截、超时、部分成功、刷新恢复</x:v>
      </x:c>
      <x:c r="Q82" s="13" t="str">
        <x:v>仅本人读任务；Worker服务端权限；模型密钥不下发</x:v>
      </x:c>
      <x:c r="R82" s="13" t="str">
        <x:v>建任务+扣点同事务；每用户1个活动任务；重投跳过完成variant；资产30天</x:v>
      </x:c>
    </x:row>
    <x:row r="83" ht="68" customHeight="1">
      <x:c r="A83" s="13" t="str">
        <x:v>第 1 期</x:v>
      </x:c>
      <x:c r="B83" s="13" t="str">
        <x:v>2. 图标设计与生成</x:v>
      </x:c>
      <x:c r="C83" s="13" t="str">
        <x:v>GEN-009</x:v>
      </x:c>
      <x:c r="D83" s="13" t="str">
        <x:v>UI图标Skill</x:v>
      </x:c>
      <x:c r="E83" s="13" t="str">
        <x:v>BE-SKILL-05</x:v>
      </x:c>
      <x:c r="F83" s="13" t="str">
        <x:v>后端</x:v>
      </x:c>
      <x:c r="G83" s="13" t="str">
        <x:v>注入背景与颜色规则</x:v>
      </x:c>
      <x:c r="H83" s="13" t="str">
        <x:v>纯色/渐变/透明背景描述</x:v>
      </x:c>
      <x:c r="I83" s="13" t="str">
        <x:v>关闭背景时明确transparent RGBA</x:v>
      </x:c>
      <x:c r="J83" s="13" t="str">
        <x:v>—</x:v>
      </x:c>
      <x:c r="K83" s="13" t="str">
        <x:v>已完成</x:v>
      </x:c>
      <x:c r="L83" s="13" t="str">
        <x:v>08-23～08-25</x:v>
      </x:c>
      <x:c r="M83" s="13" t="str">
        <x:v>2026-08-20</x:v>
      </x:c>
      <x:c r="N83" s="13" t="str">
        <x:v>job/subject/variant/asset均为UUID；创建请求带idempotency_key；记录设置/Skill/模型版本</x:v>
      </x:c>
      <x:c r="O83" s="13" t="str">
        <x:v>job queued/processing/completed/partial/failed；variant queued/processing/completed/failed</x:v>
      </x:c>
      <x:c r="P83" s="13" t="str">
        <x:v>1–20主体、余额不足、内容拦截、超时、部分成功、刷新恢复</x:v>
      </x:c>
      <x:c r="Q83" s="13" t="str">
        <x:v>仅本人读任务；Worker服务端权限；模型密钥不下发</x:v>
      </x:c>
      <x:c r="R83" s="13" t="str">
        <x:v>建任务+扣点同事务；每用户1个活动任务；重投跳过完成variant；资产30天</x:v>
      </x:c>
    </x:row>
    <x:row r="84" ht="68" customHeight="1">
      <x:c r="A84" s="13" t="str">
        <x:v>第 2 期</x:v>
      </x:c>
      <x:c r="B84" s="13" t="str">
        <x:v>2. 图标设计与生成</x:v>
      </x:c>
      <x:c r="C84" s="13" t="str">
        <x:v>GEN-009</x:v>
      </x:c>
      <x:c r="D84" s="13" t="str">
        <x:v>真实图像模型接入</x:v>
      </x:c>
      <x:c r="E84" s="13" t="str">
        <x:v>BE-OPENAI-01</x:v>
      </x:c>
      <x:c r="F84" s="13" t="str">
        <x:v>后端</x:v>
      </x:c>
      <x:c r="G84" s="13" t="str">
        <x:v>读取平台OpenAI API Key</x:v>
      </x:c>
      <x:c r="H84" s="13" t="str">
        <x:v>服务端环境变量</x:v>
      </x:c>
      <x:c r="I84" s="13" t="str">
        <x:v>缺失时启动校验失败</x:v>
      </x:c>
      <x:c r="J84" s="13" t="str">
        <x:v>—</x:v>
      </x:c>
      <x:c r="K84" s="13" t="str">
        <x:v>待完成</x:v>
      </x:c>
      <x:c r="L84" s="13" t="str">
        <x:v>08-31～09-02</x:v>
      </x:c>
      <x:c r="M84" s="13" t="str">
        <x:v>—</x:v>
      </x:c>
      <x:c r="N84" s="13" t="str">
        <x:v>job/subject/variant/asset均为UUID；创建请求带idempotency_key；记录设置/Skill/模型版本</x:v>
      </x:c>
      <x:c r="O84" s="13" t="str">
        <x:v>job queued/processing/completed/partial/failed；variant queued/processing/completed/failed</x:v>
      </x:c>
      <x:c r="P84" s="13" t="str">
        <x:v>1–20主体、余额不足、内容拦截、超时、部分成功、刷新恢复</x:v>
      </x:c>
      <x:c r="Q84" s="13" t="str">
        <x:v>仅本人读任务；Worker服务端权限；模型密钥不下发</x:v>
      </x:c>
      <x:c r="R84" s="13" t="str">
        <x:v>建任务+扣点同事务；每用户1个活动任务；重投跳过完成variant；资产30天</x:v>
      </x:c>
    </x:row>
    <x:row r="85" ht="68" customHeight="1">
      <x:c r="A85" s="13" t="str">
        <x:v>第 2 期</x:v>
      </x:c>
      <x:c r="B85" s="13" t="str">
        <x:v>2. 图标设计与生成</x:v>
      </x:c>
      <x:c r="C85" s="13" t="str">
        <x:v>GEN-009</x:v>
      </x:c>
      <x:c r="D85" s="13" t="str">
        <x:v>真实图像模型接入</x:v>
      </x:c>
      <x:c r="E85" s="13" t="str">
        <x:v>BE-OPENAI-02</x:v>
      </x:c>
      <x:c r="F85" s="13" t="str">
        <x:v>后端</x:v>
      </x:c>
      <x:c r="G85" s="13" t="str">
        <x:v>配置gpt-image-2</x:v>
      </x:c>
      <x:c r="H85" s="13" t="str">
        <x:v>模型参数传递</x:v>
      </x:c>
      <x:c r="I85" s="13" t="str">
        <x:v>模型名可由平台替换</x:v>
      </x:c>
      <x:c r="J85" s="13" t="str">
        <x:v>—</x:v>
      </x:c>
      <x:c r="K85" s="13" t="str">
        <x:v>待完成</x:v>
      </x:c>
      <x:c r="L85" s="13" t="str">
        <x:v>08-31～09-02</x:v>
      </x:c>
      <x:c r="M85" s="13" t="str">
        <x:v>—</x:v>
      </x:c>
      <x:c r="N85" s="13" t="str">
        <x:v>job/subject/variant/asset均为UUID；创建请求带idempotency_key；记录设置/Skill/模型版本</x:v>
      </x:c>
      <x:c r="O85" s="13" t="str">
        <x:v>job queued/processing/completed/partial/failed；variant queued/processing/completed/failed</x:v>
      </x:c>
      <x:c r="P85" s="13" t="str">
        <x:v>1–20主体、余额不足、内容拦截、超时、部分成功、刷新恢复</x:v>
      </x:c>
      <x:c r="Q85" s="13" t="str">
        <x:v>仅本人读任务；Worker服务端权限；模型密钥不下发</x:v>
      </x:c>
      <x:c r="R85" s="13" t="str">
        <x:v>建任务+扣点同事务；每用户1个活动任务；重投跳过完成variant；资产30天</x:v>
      </x:c>
    </x:row>
    <x:row r="86" ht="68" customHeight="1">
      <x:c r="A86" s="13" t="str">
        <x:v>第 2 期</x:v>
      </x:c>
      <x:c r="B86" s="13" t="str">
        <x:v>2. 图标设计与生成</x:v>
      </x:c>
      <x:c r="C86" s="13" t="str">
        <x:v>GEN-009</x:v>
      </x:c>
      <x:c r="D86" s="13" t="str">
        <x:v>真实图像模型接入</x:v>
      </x:c>
      <x:c r="E86" s="13" t="str">
        <x:v>BE-OPENAI-03</x:v>
      </x:c>
      <x:c r="F86" s="13" t="str">
        <x:v>后端</x:v>
      </x:c>
      <x:c r="G86" s="13" t="str">
        <x:v>固定medium质量</x:v>
      </x:c>
      <x:c r="H86" s="13" t="str">
        <x:v>quality参数</x:v>
      </x:c>
      <x:c r="I86" s="13" t="str">
        <x:v>请求明确发送medium</x:v>
      </x:c>
      <x:c r="J86" s="13" t="str">
        <x:v>—</x:v>
      </x:c>
      <x:c r="K86" s="13" t="str">
        <x:v>待完成</x:v>
      </x:c>
      <x:c r="L86" s="13" t="str">
        <x:v>08-31～09-02</x:v>
      </x:c>
      <x:c r="M86" s="13" t="str">
        <x:v>—</x:v>
      </x:c>
      <x:c r="N86" s="13" t="str">
        <x:v>job/subject/variant/asset均为UUID；创建请求带idempotency_key；记录设置/Skill/模型版本</x:v>
      </x:c>
      <x:c r="O86" s="13" t="str">
        <x:v>job queued/processing/completed/partial/failed；variant queued/processing/completed/failed</x:v>
      </x:c>
      <x:c r="P86" s="13" t="str">
        <x:v>1–20主体、余额不足、内容拦截、超时、部分成功、刷新恢复</x:v>
      </x:c>
      <x:c r="Q86" s="13" t="str">
        <x:v>仅本人读任务；Worker服务端权限；模型密钥不下发</x:v>
      </x:c>
      <x:c r="R86" s="13" t="str">
        <x:v>建任务+扣点同事务；每用户1个活动任务；重投跳过完成variant；资产30天</x:v>
      </x:c>
    </x:row>
    <x:row r="87" ht="68" customHeight="1">
      <x:c r="A87" s="13" t="str">
        <x:v>第 2 期</x:v>
      </x:c>
      <x:c r="B87" s="13" t="str">
        <x:v>2. 图标设计与生成</x:v>
      </x:c>
      <x:c r="C87" s="13" t="str">
        <x:v>GEN-009</x:v>
      </x:c>
      <x:c r="D87" s="13" t="str">
        <x:v>真实图像模型接入</x:v>
      </x:c>
      <x:c r="E87" s="13" t="str">
        <x:v>BE-OPENAI-04</x:v>
      </x:c>
      <x:c r="F87" s="13" t="str">
        <x:v>后端</x:v>
      </x:c>
      <x:c r="G87" s="13" t="str">
        <x:v>设置请求超时</x:v>
      </x:c>
      <x:c r="H87" s="13" t="str">
        <x:v>Abort/timeout边界</x:v>
      </x:c>
      <x:c r="I87" s="13" t="str">
        <x:v>超时进入可重试错误</x:v>
      </x:c>
      <x:c r="J87" s="13" t="str">
        <x:v>—</x:v>
      </x:c>
      <x:c r="K87" s="13" t="str">
        <x:v>待完成</x:v>
      </x:c>
      <x:c r="L87" s="13" t="str">
        <x:v>08-31～09-02</x:v>
      </x:c>
      <x:c r="M87" s="13" t="str">
        <x:v>—</x:v>
      </x:c>
      <x:c r="N87" s="13" t="str">
        <x:v>job/subject/variant/asset均为UUID；创建请求带idempotency_key；记录设置/Skill/模型版本</x:v>
      </x:c>
      <x:c r="O87" s="13" t="str">
        <x:v>job queued/processing/completed/partial/failed；variant queued/processing/completed/failed</x:v>
      </x:c>
      <x:c r="P87" s="13" t="str">
        <x:v>1–20主体、余额不足、内容拦截、超时、部分成功、刷新恢复</x:v>
      </x:c>
      <x:c r="Q87" s="13" t="str">
        <x:v>仅本人读任务；Worker服务端权限；模型密钥不下发</x:v>
      </x:c>
      <x:c r="R87" s="13" t="str">
        <x:v>建任务+扣点同事务；每用户1个活动任务；重投跳过完成variant；资产30天</x:v>
      </x:c>
    </x:row>
    <x:row r="88" ht="68" customHeight="1">
      <x:c r="A88" s="13" t="str">
        <x:v>第 2 期</x:v>
      </x:c>
      <x:c r="B88" s="13" t="str">
        <x:v>2. 图标设计与生成</x:v>
      </x:c>
      <x:c r="C88" s="13" t="str">
        <x:v>GEN-009</x:v>
      </x:c>
      <x:c r="D88" s="13" t="str">
        <x:v>真实图像模型接入</x:v>
      </x:c>
      <x:c r="E88" s="13" t="str">
        <x:v>BE-OPENAI-05</x:v>
      </x:c>
      <x:c r="F88" s="13" t="str">
        <x:v>后端</x:v>
      </x:c>
      <x:c r="G88" s="13" t="str">
        <x:v>处理429限流</x:v>
      </x:c>
      <x:c r="H88" s="13" t="str">
        <x:v>退避和重试分类</x:v>
      </x:c>
      <x:c r="I88" s="13" t="str">
        <x:v>不立即标记永久失败</x:v>
      </x:c>
      <x:c r="J88" s="13" t="str">
        <x:v>—</x:v>
      </x:c>
      <x:c r="K88" s="13" t="str">
        <x:v>待完成</x:v>
      </x:c>
      <x:c r="L88" s="13" t="str">
        <x:v>08-31～09-02</x:v>
      </x:c>
      <x:c r="M88" s="13" t="str">
        <x:v>—</x:v>
      </x:c>
      <x:c r="N88" s="13" t="str">
        <x:v>job/subject/variant/asset均为UUID；创建请求带idempotency_key；记录设置/Skill/模型版本</x:v>
      </x:c>
      <x:c r="O88" s="13" t="str">
        <x:v>job queued/processing/completed/partial/failed；variant queued/processing/completed/failed</x:v>
      </x:c>
      <x:c r="P88" s="13" t="str">
        <x:v>1–20主体、余额不足、内容拦截、超时、部分成功、刷新恢复</x:v>
      </x:c>
      <x:c r="Q88" s="13" t="str">
        <x:v>仅本人读任务；Worker服务端权限；模型密钥不下发</x:v>
      </x:c>
      <x:c r="R88" s="13" t="str">
        <x:v>建任务+扣点同事务；每用户1个活动任务；重投跳过完成variant；资产30天</x:v>
      </x:c>
    </x:row>
    <x:row r="89" ht="68" customHeight="1">
      <x:c r="A89" s="13" t="str">
        <x:v>第 2 期</x:v>
      </x:c>
      <x:c r="B89" s="13" t="str">
        <x:v>2. 图标设计与生成</x:v>
      </x:c>
      <x:c r="C89" s="13" t="str">
        <x:v>GEN-009</x:v>
      </x:c>
      <x:c r="D89" s="13" t="str">
        <x:v>真实图像模型接入</x:v>
      </x:c>
      <x:c r="E89" s="13" t="str">
        <x:v>BE-OPENAI-06</x:v>
      </x:c>
      <x:c r="F89" s="13" t="str">
        <x:v>后端</x:v>
      </x:c>
      <x:c r="G89" s="13" t="str">
        <x:v>解析PNG响应</x:v>
      </x:c>
      <x:c r="H89" s="13" t="str">
        <x:v>bytes和mimeType</x:v>
      </x:c>
      <x:c r="I89" s="13" t="str">
        <x:v>非PNG响应拒绝保存</x:v>
      </x:c>
      <x:c r="J89" s="13" t="str">
        <x:v>—</x:v>
      </x:c>
      <x:c r="K89" s="13" t="str">
        <x:v>待完成</x:v>
      </x:c>
      <x:c r="L89" s="13" t="str">
        <x:v>08-31～09-02</x:v>
      </x:c>
      <x:c r="M89" s="13" t="str">
        <x:v>—</x:v>
      </x:c>
      <x:c r="N89" s="13" t="str">
        <x:v>job/subject/variant/asset均为UUID；创建请求带idempotency_key；记录设置/Skill/模型版本</x:v>
      </x:c>
      <x:c r="O89" s="13" t="str">
        <x:v>job queued/processing/completed/partial/failed；variant queued/processing/completed/failed</x:v>
      </x:c>
      <x:c r="P89" s="13" t="str">
        <x:v>1–20主体、余额不足、内容拦截、超时、部分成功、刷新恢复</x:v>
      </x:c>
      <x:c r="Q89" s="13" t="str">
        <x:v>仅本人读任务；Worker服务端权限；模型密钥不下发</x:v>
      </x:c>
      <x:c r="R89" s="13" t="str">
        <x:v>建任务+扣点同事务；每用户1个活动任务；重投跳过完成variant；资产30天</x:v>
      </x:c>
    </x:row>
    <x:row r="90" ht="68" customHeight="1">
      <x:c r="A90" s="13" t="str">
        <x:v>第 2 期</x:v>
      </x:c>
      <x:c r="B90" s="13" t="str">
        <x:v>2. 图标设计与生成</x:v>
      </x:c>
      <x:c r="C90" s="13" t="str">
        <x:v>GEN-009</x:v>
      </x:c>
      <x:c r="D90" s="13" t="str">
        <x:v>真实图像模型接入</x:v>
      </x:c>
      <x:c r="E90" s="13" t="str">
        <x:v>BE-OPENAI-07</x:v>
      </x:c>
      <x:c r="F90" s="13" t="str">
        <x:v>后端</x:v>
      </x:c>
      <x:c r="G90" s="13" t="str">
        <x:v>记录provider request ID</x:v>
      </x:c>
      <x:c r="H90" s="13" t="str">
        <x:v>执行追踪字段</x:v>
      </x:c>
      <x:c r="I90" s="13" t="str">
        <x:v>日志不记录Key或完整Prompt</x:v>
      </x:c>
      <x:c r="J90" s="13" t="str">
        <x:v>—</x:v>
      </x:c>
      <x:c r="K90" s="13" t="str">
        <x:v>待完成</x:v>
      </x:c>
      <x:c r="L90" s="13" t="str">
        <x:v>08-31～09-02</x:v>
      </x:c>
      <x:c r="M90" s="13" t="str">
        <x:v>—</x:v>
      </x:c>
      <x:c r="N90" s="13" t="str">
        <x:v>job/subject/variant/asset均为UUID；创建请求带idempotency_key；记录设置/Skill/模型版本</x:v>
      </x:c>
      <x:c r="O90" s="13" t="str">
        <x:v>job queued/processing/completed/partial/failed；variant queued/processing/completed/failed</x:v>
      </x:c>
      <x:c r="P90" s="13" t="str">
        <x:v>1–20主体、余额不足、内容拦截、超时、部分成功、刷新恢复</x:v>
      </x:c>
      <x:c r="Q90" s="13" t="str">
        <x:v>仅本人读任务；Worker服务端权限；模型密钥不下发</x:v>
      </x:c>
      <x:c r="R90" s="13" t="str">
        <x:v>建任务+扣点同事务；每用户1个活动任务；重投跳过完成variant；资产30天</x:v>
      </x:c>
    </x:row>
    <x:row r="91" ht="68" customHeight="1">
      <x:c r="A91" s="13" t="str">
        <x:v>第 2 期</x:v>
      </x:c>
      <x:c r="B91" s="13" t="str">
        <x:v>2. 图标设计与生成</x:v>
      </x:c>
      <x:c r="C91" s="13" t="str">
        <x:v>GEN-009</x:v>
      </x:c>
      <x:c r="D91" s="13" t="str">
        <x:v>内容安全</x:v>
      </x:c>
      <x:c r="E91" s="13" t="str">
        <x:v>BE-SAFETY-01</x:v>
      </x:c>
      <x:c r="F91" s="13" t="str">
        <x:v>后端</x:v>
      </x:c>
      <x:c r="G91" s="13" t="str">
        <x:v>定义请求安全规则</x:v>
      </x:c>
      <x:c r="H91" s="13" t="str">
        <x:v>违法/仿冒/侵权/受保护角色边界</x:v>
      </x:c>
      <x:c r="I91" s="13" t="str">
        <x:v>规则版本化</x:v>
      </x:c>
      <x:c r="J91" s="13" t="str">
        <x:v>—</x:v>
      </x:c>
      <x:c r="K91" s="13" t="str">
        <x:v>待完成</x:v>
      </x:c>
      <x:c r="L91" s="13" t="str">
        <x:v>08-31～09-02</x:v>
      </x:c>
      <x:c r="M91" s="13" t="str">
        <x:v>—</x:v>
      </x:c>
      <x:c r="N91" s="13" t="str">
        <x:v>job/subject/variant/asset均为UUID；创建请求带idempotency_key；记录设置/Skill/模型版本</x:v>
      </x:c>
      <x:c r="O91" s="13" t="str">
        <x:v>job queued/processing/completed/partial/failed；variant queued/processing/completed/failed</x:v>
      </x:c>
      <x:c r="P91" s="13" t="str">
        <x:v>1–20主体、余额不足、内容拦截、超时、部分成功、刷新恢复</x:v>
      </x:c>
      <x:c r="Q91" s="13" t="str">
        <x:v>仅本人读任务；Worker服务端权限；模型密钥不下发</x:v>
      </x:c>
      <x:c r="R91" s="13" t="str">
        <x:v>建任务+扣点同事务；每用户1个活动任务；重投跳过完成variant；资产30天</x:v>
      </x:c>
    </x:row>
    <x:row r="92" ht="68" customHeight="1">
      <x:c r="A92" s="13" t="str">
        <x:v>第 2 期</x:v>
      </x:c>
      <x:c r="B92" s="13" t="str">
        <x:v>2. 图标设计与生成</x:v>
      </x:c>
      <x:c r="C92" s="13" t="str">
        <x:v>GEN-009</x:v>
      </x:c>
      <x:c r="D92" s="13" t="str">
        <x:v>内容安全</x:v>
      </x:c>
      <x:c r="E92" s="13" t="str">
        <x:v>BE-SAFETY-02</x:v>
      </x:c>
      <x:c r="F92" s="13" t="str">
        <x:v>后端</x:v>
      </x:c>
      <x:c r="G92" s="13" t="str">
        <x:v>在扣点前检查请求</x:v>
      </x:c>
      <x:c r="H92" s="13" t="str">
        <x:v>内容分类服务</x:v>
      </x:c>
      <x:c r="I92" s="13" t="str">
        <x:v>拦截不创建任务不扣点</x:v>
      </x:c>
      <x:c r="J92" s="13" t="str">
        <x:v>—</x:v>
      </x:c>
      <x:c r="K92" s="13" t="str">
        <x:v>待完成</x:v>
      </x:c>
      <x:c r="L92" s="13" t="str">
        <x:v>08-31～09-02</x:v>
      </x:c>
      <x:c r="M92" s="13" t="str">
        <x:v>—</x:v>
      </x:c>
      <x:c r="N92" s="13" t="str">
        <x:v>job/subject/variant/asset均为UUID；创建请求带idempotency_key；记录设置/Skill/模型版本</x:v>
      </x:c>
      <x:c r="O92" s="13" t="str">
        <x:v>job queued/processing/completed/partial/failed；variant queued/processing/completed/failed</x:v>
      </x:c>
      <x:c r="P92" s="13" t="str">
        <x:v>1–20主体、余额不足、内容拦截、超时、部分成功、刷新恢复</x:v>
      </x:c>
      <x:c r="Q92" s="13" t="str">
        <x:v>仅本人读任务；Worker服务端权限；模型密钥不下发</x:v>
      </x:c>
      <x:c r="R92" s="13" t="str">
        <x:v>建任务+扣点同事务；每用户1个活动任务；重投跳过完成variant；资产30天</x:v>
      </x:c>
    </x:row>
    <x:row r="93" ht="68" customHeight="1">
      <x:c r="A93" s="13" t="str">
        <x:v>第 2 期</x:v>
      </x:c>
      <x:c r="B93" s="13" t="str">
        <x:v>2. 图标设计与生成</x:v>
      </x:c>
      <x:c r="C93" s="13" t="str">
        <x:v>GEN-009</x:v>
      </x:c>
      <x:c r="D93" s="13" t="str">
        <x:v>内容安全</x:v>
      </x:c>
      <x:c r="E93" s="13" t="str">
        <x:v>BE-SAFETY-03</x:v>
      </x:c>
      <x:c r="F93" s="13" t="str">
        <x:v>后端</x:v>
      </x:c>
      <x:c r="G93" s="13" t="str">
        <x:v>映射内容拦截错误</x:v>
      </x:c>
      <x:c r="H93" s="13" t="str">
        <x:v>CONTENT_POLICY_BLOCKED</x:v>
      </x:c>
      <x:c r="I93" s="13" t="str">
        <x:v>前端获得可理解提示</x:v>
      </x:c>
      <x:c r="J93" s="13" t="str">
        <x:v>—</x:v>
      </x:c>
      <x:c r="K93" s="13" t="str">
        <x:v>待完成</x:v>
      </x:c>
      <x:c r="L93" s="13" t="str">
        <x:v>08-31～09-02</x:v>
      </x:c>
      <x:c r="M93" s="13" t="str">
        <x:v>—</x:v>
      </x:c>
      <x:c r="N93" s="13" t="str">
        <x:v>job/subject/variant/asset均为UUID；创建请求带idempotency_key；记录设置/Skill/模型版本</x:v>
      </x:c>
      <x:c r="O93" s="13" t="str">
        <x:v>job queued/processing/completed/partial/failed；variant queued/processing/completed/failed</x:v>
      </x:c>
      <x:c r="P93" s="13" t="str">
        <x:v>1–20主体、余额不足、内容拦截、超时、部分成功、刷新恢复</x:v>
      </x:c>
      <x:c r="Q93" s="13" t="str">
        <x:v>仅本人读任务；Worker服务端权限；模型密钥不下发</x:v>
      </x:c>
      <x:c r="R93" s="13" t="str">
        <x:v>建任务+扣点同事务；每用户1个活动任务；重投跳过完成variant；资产30天</x:v>
      </x:c>
    </x:row>
    <x:row r="94" ht="68" customHeight="1">
      <x:c r="A94" s="13" t="str">
        <x:v>第 2 期</x:v>
      </x:c>
      <x:c r="B94" s="13" t="str">
        <x:v>2. 图标设计与生成</x:v>
      </x:c>
      <x:c r="C94" s="13" t="str">
        <x:v>GEN-009</x:v>
      </x:c>
      <x:c r="D94" s="13" t="str">
        <x:v>内容安全</x:v>
      </x:c>
      <x:c r="E94" s="13" t="str">
        <x:v>BE-SAFETY-04</x:v>
      </x:c>
      <x:c r="F94" s="13" t="str">
        <x:v>后端</x:v>
      </x:c>
      <x:c r="G94" s="13" t="str">
        <x:v>检查生成结果元数据</x:v>
      </x:c>
      <x:c r="H94" s="13" t="str">
        <x:v>供应商安全结果处理</x:v>
      </x:c>
      <x:c r="I94" s="13" t="str">
        <x:v>被拦截单元进入明确失败</x:v>
      </x:c>
      <x:c r="J94" s="13" t="str">
        <x:v>—</x:v>
      </x:c>
      <x:c r="K94" s="13" t="str">
        <x:v>待完成</x:v>
      </x:c>
      <x:c r="L94" s="13" t="str">
        <x:v>08-31～09-02</x:v>
      </x:c>
      <x:c r="M94" s="13" t="str">
        <x:v>—</x:v>
      </x:c>
      <x:c r="N94" s="13" t="str">
        <x:v>job/subject/variant/asset均为UUID；创建请求带idempotency_key；记录设置/Skill/模型版本</x:v>
      </x:c>
      <x:c r="O94" s="13" t="str">
        <x:v>job queued/processing/completed/partial/failed；variant queued/processing/completed/failed</x:v>
      </x:c>
      <x:c r="P94" s="13" t="str">
        <x:v>1–20主体、余额不足、内容拦截、超时、部分成功、刷新恢复</x:v>
      </x:c>
      <x:c r="Q94" s="13" t="str">
        <x:v>仅本人读任务；Worker服务端权限；模型密钥不下发</x:v>
      </x:c>
      <x:c r="R94" s="13" t="str">
        <x:v>建任务+扣点同事务；每用户1个活动任务；重投跳过完成variant；资产30天</x:v>
      </x:c>
    </x:row>
    <x:row r="95" ht="68" customHeight="1">
      <x:c r="A95" s="13" t="str">
        <x:v>第 2 期</x:v>
      </x:c>
      <x:c r="B95" s="13" t="str">
        <x:v>2. 图标设计与生成</x:v>
      </x:c>
      <x:c r="C95" s="13" t="str">
        <x:v>GEN-009</x:v>
      </x:c>
      <x:c r="D95" s="13" t="str">
        <x:v>内容安全</x:v>
      </x:c>
      <x:c r="E95" s="13" t="str">
        <x:v>BE-SAFETY-05</x:v>
      </x:c>
      <x:c r="F95" s="13" t="str">
        <x:v>后端</x:v>
      </x:c>
      <x:c r="G95" s="13" t="str">
        <x:v>记录脱敏安全事件</x:v>
      </x:c>
      <x:c r="H95" s="13" t="str">
        <x:v>规则ID/结果/对象ID</x:v>
      </x:c>
      <x:c r="I95" s="13" t="str">
        <x:v>不记录完整敏感描述</x:v>
      </x:c>
      <x:c r="J95" s="13" t="str">
        <x:v>—</x:v>
      </x:c>
      <x:c r="K95" s="13" t="str">
        <x:v>待完成</x:v>
      </x:c>
      <x:c r="L95" s="13" t="str">
        <x:v>08-31～09-02</x:v>
      </x:c>
      <x:c r="M95" s="13" t="str">
        <x:v>—</x:v>
      </x:c>
      <x:c r="N95" s="13" t="str">
        <x:v>job/subject/variant/asset均为UUID；创建请求带idempotency_key；记录设置/Skill/模型版本</x:v>
      </x:c>
      <x:c r="O95" s="13" t="str">
        <x:v>job queued/processing/completed/partial/failed；variant queued/processing/completed/failed</x:v>
      </x:c>
      <x:c r="P95" s="13" t="str">
        <x:v>1–20主体、余额不足、内容拦截、超时、部分成功、刷新恢复</x:v>
      </x:c>
      <x:c r="Q95" s="13" t="str">
        <x:v>仅本人读任务；Worker服务端权限；模型密钥不下发</x:v>
      </x:c>
      <x:c r="R95" s="13" t="str">
        <x:v>建任务+扣点同事务；每用户1个活动任务；重投跳过完成variant；资产30天</x:v>
      </x:c>
    </x:row>
    <x:row r="96" ht="68" customHeight="1">
      <x:c r="A96" s="13" t="str">
        <x:v>第 2 期</x:v>
      </x:c>
      <x:c r="B96" s="13" t="str">
        <x:v>2. 图标设计与生成</x:v>
      </x:c>
      <x:c r="C96" s="13" t="str">
        <x:v>GEN-009</x:v>
      </x:c>
      <x:c r="D96" s="13" t="str">
        <x:v>PNG处理与质量检查</x:v>
      </x:c>
      <x:c r="E96" s="13" t="str">
        <x:v>BE-IMAGE-01</x:v>
      </x:c>
      <x:c r="F96" s="13" t="str">
        <x:v>后端</x:v>
      </x:c>
      <x:c r="G96" s="13" t="str">
        <x:v>保存高分辨率母版</x:v>
      </x:c>
      <x:c r="H96" s="13" t="str">
        <x:v>私有原始PNG对象</x:v>
      </x:c>
      <x:c r="I96" s="13" t="str">
        <x:v>对象路径唯一且可追踪</x:v>
      </x:c>
      <x:c r="J96" s="13" t="str">
        <x:v>—</x:v>
      </x:c>
      <x:c r="K96" s="13" t="str">
        <x:v>待完成</x:v>
      </x:c>
      <x:c r="L96" s="13" t="str">
        <x:v>09-01～09-04</x:v>
      </x:c>
      <x:c r="M96" s="13" t="str">
        <x:v>—</x:v>
      </x:c>
      <x:c r="N96" s="13" t="str">
        <x:v>job/subject/variant/asset均为UUID；创建请求带idempotency_key；记录设置/Skill/模型版本</x:v>
      </x:c>
      <x:c r="O96" s="13" t="str">
        <x:v>job queued/processing/completed/partial/failed；variant queued/processing/completed/failed</x:v>
      </x:c>
      <x:c r="P96" s="13" t="str">
        <x:v>1–20主体、余额不足、内容拦截、超时、部分成功、刷新恢复</x:v>
      </x:c>
      <x:c r="Q96" s="13" t="str">
        <x:v>仅本人读任务；Worker服务端权限；模型密钥不下发</x:v>
      </x:c>
      <x:c r="R96" s="13" t="str">
        <x:v>建任务+扣点同事务；每用户1个活动任务；重投跳过完成variant；资产30天</x:v>
      </x:c>
    </x:row>
    <x:row r="97" ht="68" customHeight="1">
      <x:c r="A97" s="13" t="str">
        <x:v>第 2 期</x:v>
      </x:c>
      <x:c r="B97" s="13" t="str">
        <x:v>2. 图标设计与生成</x:v>
      </x:c>
      <x:c r="C97" s="13" t="str">
        <x:v>GEN-009</x:v>
      </x:c>
      <x:c r="D97" s="13" t="str">
        <x:v>PNG处理与质量检查</x:v>
      </x:c>
      <x:c r="E97" s="13" t="str">
        <x:v>BE-IMAGE-02</x:v>
      </x:c>
      <x:c r="F97" s="13" t="str">
        <x:v>后端</x:v>
      </x:c>
      <x:c r="G97" s="13" t="str">
        <x:v>规范化正方形画布</x:v>
      </x:c>
      <x:c r="H97" s="13" t="str">
        <x:v>裁切/留白策略</x:v>
      </x:c>
      <x:c r="I97" s="13" t="str">
        <x:v>主体不被意外截断</x:v>
      </x:c>
      <x:c r="J97" s="13" t="str">
        <x:v>—</x:v>
      </x:c>
      <x:c r="K97" s="13" t="str">
        <x:v>待完成</x:v>
      </x:c>
      <x:c r="L97" s="13" t="str">
        <x:v>09-01～09-04</x:v>
      </x:c>
      <x:c r="M97" s="13" t="str">
        <x:v>—</x:v>
      </x:c>
      <x:c r="N97" s="13" t="str">
        <x:v>job/subject/variant/asset均为UUID；创建请求带idempotency_key；记录设置/Skill/模型版本</x:v>
      </x:c>
      <x:c r="O97" s="13" t="str">
        <x:v>job queued/processing/completed/partial/failed；variant queued/processing/completed/failed</x:v>
      </x:c>
      <x:c r="P97" s="13" t="str">
        <x:v>1–20主体、余额不足、内容拦截、超时、部分成功、刷新恢复</x:v>
      </x:c>
      <x:c r="Q97" s="13" t="str">
        <x:v>仅本人读任务；Worker服务端权限；模型密钥不下发</x:v>
      </x:c>
      <x:c r="R97" s="13" t="str">
        <x:v>建任务+扣点同事务；每用户1个活动任务；重投跳过完成variant；资产30天</x:v>
      </x:c>
    </x:row>
    <x:row r="98" ht="68" customHeight="1">
      <x:c r="A98" s="13" t="str">
        <x:v>第 2 期</x:v>
      </x:c>
      <x:c r="B98" s="13" t="str">
        <x:v>2. 图标设计与生成</x:v>
      </x:c>
      <x:c r="C98" s="13" t="str">
        <x:v>GEN-009</x:v>
      </x:c>
      <x:c r="D98" s="13" t="str">
        <x:v>PNG处理与质量检查</x:v>
      </x:c>
      <x:c r="E98" s="13" t="str">
        <x:v>BE-IMAGE-03</x:v>
      </x:c>
      <x:c r="F98" s="13" t="str">
        <x:v>后端</x:v>
      </x:c>
      <x:c r="G98" s="13" t="str">
        <x:v>派生16/20/24/32尺寸</x:v>
      </x:c>
      <x:c r="H98" s="13" t="str">
        <x:v>小尺寸PNG</x:v>
      </x:c>
      <x:c r="I98" s="13" t="str">
        <x:v>实际像素与文件名一致</x:v>
      </x:c>
      <x:c r="J98" s="13" t="str">
        <x:v>—</x:v>
      </x:c>
      <x:c r="K98" s="13" t="str">
        <x:v>待完成</x:v>
      </x:c>
      <x:c r="L98" s="13" t="str">
        <x:v>09-01～09-04</x:v>
      </x:c>
      <x:c r="M98" s="13" t="str">
        <x:v>—</x:v>
      </x:c>
      <x:c r="N98" s="13" t="str">
        <x:v>job/subject/variant/asset均为UUID；创建请求带idempotency_key；记录设置/Skill/模型版本</x:v>
      </x:c>
      <x:c r="O98" s="13" t="str">
        <x:v>job queued/processing/completed/partial/failed；variant queued/processing/completed/failed</x:v>
      </x:c>
      <x:c r="P98" s="13" t="str">
        <x:v>1–20主体、余额不足、内容拦截、超时、部分成功、刷新恢复</x:v>
      </x:c>
      <x:c r="Q98" s="13" t="str">
        <x:v>仅本人读任务；Worker服务端权限；模型密钥不下发</x:v>
      </x:c>
      <x:c r="R98" s="13" t="str">
        <x:v>建任务+扣点同事务；每用户1个活动任务；重投跳过完成variant；资产30天</x:v>
      </x:c>
    </x:row>
    <x:row r="99" ht="68" customHeight="1">
      <x:c r="A99" s="13" t="str">
        <x:v>第 2 期</x:v>
      </x:c>
      <x:c r="B99" s="13" t="str">
        <x:v>2. 图标设计与生成</x:v>
      </x:c>
      <x:c r="C99" s="13" t="str">
        <x:v>GEN-009</x:v>
      </x:c>
      <x:c r="D99" s="13" t="str">
        <x:v>PNG处理与质量检查</x:v>
      </x:c>
      <x:c r="E99" s="13" t="str">
        <x:v>BE-IMAGE-04</x:v>
      </x:c>
      <x:c r="F99" s="13" t="str">
        <x:v>后端</x:v>
      </x:c>
      <x:c r="G99" s="13" t="str">
        <x:v>派生48/64/128尺寸</x:v>
      </x:c>
      <x:c r="H99" s="13" t="str">
        <x:v>中尺寸PNG</x:v>
      </x:c>
      <x:c r="I99" s="13" t="str">
        <x:v>实际像素与文件名一致</x:v>
      </x:c>
      <x:c r="J99" s="13" t="str">
        <x:v>—</x:v>
      </x:c>
      <x:c r="K99" s="13" t="str">
        <x:v>待完成</x:v>
      </x:c>
      <x:c r="L99" s="13" t="str">
        <x:v>09-01～09-04</x:v>
      </x:c>
      <x:c r="M99" s="13" t="str">
        <x:v>—</x:v>
      </x:c>
      <x:c r="N99" s="13" t="str">
        <x:v>job/subject/variant/asset均为UUID；创建请求带idempotency_key；记录设置/Skill/模型版本</x:v>
      </x:c>
      <x:c r="O99" s="13" t="str">
        <x:v>job queued/processing/completed/partial/failed；variant queued/processing/completed/failed</x:v>
      </x:c>
      <x:c r="P99" s="13" t="str">
        <x:v>1–20主体、余额不足、内容拦截、超时、部分成功、刷新恢复</x:v>
      </x:c>
      <x:c r="Q99" s="13" t="str">
        <x:v>仅本人读任务；Worker服务端权限；模型密钥不下发</x:v>
      </x:c>
      <x:c r="R99" s="13" t="str">
        <x:v>建任务+扣点同事务；每用户1个活动任务；重投跳过完成variant；资产30天</x:v>
      </x:c>
    </x:row>
    <x:row r="100" ht="68" customHeight="1">
      <x:c r="A100" s="13" t="str">
        <x:v>第 2 期</x:v>
      </x:c>
      <x:c r="B100" s="13" t="str">
        <x:v>2. 图标设计与生成</x:v>
      </x:c>
      <x:c r="C100" s="13" t="str">
        <x:v>GEN-009</x:v>
      </x:c>
      <x:c r="D100" s="13" t="str">
        <x:v>PNG处理与质量检查</x:v>
      </x:c>
      <x:c r="E100" s="13" t="str">
        <x:v>BE-IMAGE-05</x:v>
      </x:c>
      <x:c r="F100" s="13" t="str">
        <x:v>后端</x:v>
      </x:c>
      <x:c r="G100" s="13" t="str">
        <x:v>派生256/512/1024尺寸</x:v>
      </x:c>
      <x:c r="H100" s="13" t="str">
        <x:v>大尺寸PNG</x:v>
      </x:c>
      <x:c r="I100" s="13" t="str">
        <x:v>实际像素与文件名一致</x:v>
      </x:c>
      <x:c r="J100" s="13" t="str">
        <x:v>—</x:v>
      </x:c>
      <x:c r="K100" s="13" t="str">
        <x:v>待完成</x:v>
      </x:c>
      <x:c r="L100" s="13" t="str">
        <x:v>09-01～09-04</x:v>
      </x:c>
      <x:c r="M100" s="13" t="str">
        <x:v>—</x:v>
      </x:c>
      <x:c r="N100" s="13" t="str">
        <x:v>job/subject/variant/asset均为UUID；创建请求带idempotency_key；记录设置/Skill/模型版本</x:v>
      </x:c>
      <x:c r="O100" s="13" t="str">
        <x:v>job queued/processing/completed/partial/failed；variant queued/processing/completed/failed</x:v>
      </x:c>
      <x:c r="P100" s="13" t="str">
        <x:v>1–20主体、余额不足、内容拦截、超时、部分成功、刷新恢复</x:v>
      </x:c>
      <x:c r="Q100" s="13" t="str">
        <x:v>仅本人读任务；Worker服务端权限；模型密钥不下发</x:v>
      </x:c>
      <x:c r="R100" s="13" t="str">
        <x:v>建任务+扣点同事务；每用户1个活动任务；重投跳过完成variant；资产30天</x:v>
      </x:c>
    </x:row>
    <x:row r="101" ht="68" customHeight="1">
      <x:c r="A101" s="13" t="str">
        <x:v>第 2 期</x:v>
      </x:c>
      <x:c r="B101" s="13" t="str">
        <x:v>2. 图标设计与生成</x:v>
      </x:c>
      <x:c r="C101" s="13" t="str">
        <x:v>GEN-009</x:v>
      </x:c>
      <x:c r="D101" s="13" t="str">
        <x:v>PNG处理与质量检查</x:v>
      </x:c>
      <x:c r="E101" s="13" t="str">
        <x:v>BE-IMAGE-06</x:v>
      </x:c>
      <x:c r="F101" s="13" t="str">
        <x:v>后端</x:v>
      </x:c>
      <x:c r="G101" s="13" t="str">
        <x:v>验证透明背景</x:v>
      </x:c>
      <x:c r="H101" s="13" t="str">
        <x:v>背景关闭时alpha通道</x:v>
      </x:c>
      <x:c r="I101" s="13" t="str">
        <x:v>非透明结果进入失败/重试</x:v>
      </x:c>
      <x:c r="J101" s="13" t="str">
        <x:v>—</x:v>
      </x:c>
      <x:c r="K101" s="13" t="str">
        <x:v>待完成</x:v>
      </x:c>
      <x:c r="L101" s="13" t="str">
        <x:v>09-01～09-04</x:v>
      </x:c>
      <x:c r="M101" s="13" t="str">
        <x:v>—</x:v>
      </x:c>
      <x:c r="N101" s="13" t="str">
        <x:v>job/subject/variant/asset均为UUID；创建请求带idempotency_key；记录设置/Skill/模型版本</x:v>
      </x:c>
      <x:c r="O101" s="13" t="str">
        <x:v>job queued/processing/completed/partial/failed；variant queued/processing/completed/failed</x:v>
      </x:c>
      <x:c r="P101" s="13" t="str">
        <x:v>1–20主体、余额不足、内容拦截、超时、部分成功、刷新恢复</x:v>
      </x:c>
      <x:c r="Q101" s="13" t="str">
        <x:v>仅本人读任务；Worker服务端权限；模型密钥不下发</x:v>
      </x:c>
      <x:c r="R101" s="13" t="str">
        <x:v>建任务+扣点同事务；每用户1个活动任务；重投跳过完成variant；资产30天</x:v>
      </x:c>
    </x:row>
    <x:row r="102" ht="68" customHeight="1">
      <x:c r="A102" s="13" t="str">
        <x:v>第 2 期</x:v>
      </x:c>
      <x:c r="B102" s="13" t="str">
        <x:v>2. 图标设计与生成</x:v>
      </x:c>
      <x:c r="C102" s="13" t="str">
        <x:v>GEN-009</x:v>
      </x:c>
      <x:c r="D102" s="13" t="str">
        <x:v>PNG处理与质量检查</x:v>
      </x:c>
      <x:c r="E102" s="13" t="str">
        <x:v>BE-IMAGE-07</x:v>
      </x:c>
      <x:c r="F102" s="13" t="str">
        <x:v>后端</x:v>
      </x:c>
      <x:c r="G102" s="13" t="str">
        <x:v>验证有背景结果</x:v>
      </x:c>
      <x:c r="H102" s="13" t="str">
        <x:v>背景开启不额外透明副本</x:v>
      </x:c>
      <x:c r="I102" s="13" t="str">
        <x:v>metadata hasAlpha准确</x:v>
      </x:c>
      <x:c r="J102" s="13" t="str">
        <x:v>—</x:v>
      </x:c>
      <x:c r="K102" s="13" t="str">
        <x:v>待完成</x:v>
      </x:c>
      <x:c r="L102" s="13" t="str">
        <x:v>09-01～09-04</x:v>
      </x:c>
      <x:c r="M102" s="13" t="str">
        <x:v>—</x:v>
      </x:c>
      <x:c r="N102" s="13" t="str">
        <x:v>job/subject/variant/asset均为UUID；创建请求带idempotency_key；记录设置/Skill/模型版本</x:v>
      </x:c>
      <x:c r="O102" s="13" t="str">
        <x:v>job queued/processing/completed/partial/failed；variant queued/processing/completed/failed</x:v>
      </x:c>
      <x:c r="P102" s="13" t="str">
        <x:v>1–20主体、余额不足、内容拦截、超时、部分成功、刷新恢复</x:v>
      </x:c>
      <x:c r="Q102" s="13" t="str">
        <x:v>仅本人读任务；Worker服务端权限；模型密钥不下发</x:v>
      </x:c>
      <x:c r="R102" s="13" t="str">
        <x:v>建任务+扣点同事务；每用户1个活动任务；重投跳过完成variant；资产30天</x:v>
      </x:c>
    </x:row>
    <x:row r="103" ht="68" customHeight="1">
      <x:c r="A103" s="13" t="str">
        <x:v>第 2 期</x:v>
      </x:c>
      <x:c r="B103" s="13" t="str">
        <x:v>2. 图标设计与生成</x:v>
      </x:c>
      <x:c r="C103" s="13" t="str">
        <x:v>GEN-009</x:v>
      </x:c>
      <x:c r="D103" s="13" t="str">
        <x:v>PNG处理与质量检查</x:v>
      </x:c>
      <x:c r="E103" s="13" t="str">
        <x:v>BE-IMAGE-08</x:v>
      </x:c>
      <x:c r="F103" s="13" t="str">
        <x:v>后端</x:v>
      </x:c>
      <x:c r="G103" s="13" t="str">
        <x:v>执行基础质量检查</x:v>
      </x:c>
      <x:c r="H103" s="13" t="str">
        <x:v>空图、损坏、尺寸、格式</x:v>
      </x:c>
      <x:c r="I103" s="13" t="str">
        <x:v>失败资产不标记完成</x:v>
      </x:c>
      <x:c r="J103" s="13" t="str">
        <x:v>—</x:v>
      </x:c>
      <x:c r="K103" s="13" t="str">
        <x:v>待完成</x:v>
      </x:c>
      <x:c r="L103" s="13" t="str">
        <x:v>09-01～09-04</x:v>
      </x:c>
      <x:c r="M103" s="13" t="str">
        <x:v>—</x:v>
      </x:c>
      <x:c r="N103" s="13" t="str">
        <x:v>job/subject/variant/asset均为UUID；创建请求带idempotency_key；记录设置/Skill/模型版本</x:v>
      </x:c>
      <x:c r="O103" s="13" t="str">
        <x:v>job queued/processing/completed/partial/failed；variant queued/processing/completed/failed</x:v>
      </x:c>
      <x:c r="P103" s="13" t="str">
        <x:v>1–20主体、余额不足、内容拦截、超时、部分成功、刷新恢复</x:v>
      </x:c>
      <x:c r="Q103" s="13" t="str">
        <x:v>仅本人读任务；Worker服务端权限；模型密钥不下发</x:v>
      </x:c>
      <x:c r="R103" s="13" t="str">
        <x:v>建任务+扣点同事务；每用户1个活动任务；重投跳过完成variant；资产30天</x:v>
      </x:c>
    </x:row>
    <x:row r="104" ht="68" customHeight="1">
      <x:c r="A104" s="13" t="str">
        <x:v>第 2 期</x:v>
      </x:c>
      <x:c r="B104" s="13" t="str">
        <x:v>3. 作品、预览与下载</x:v>
      </x:c>
      <x:c r="C104" s="13" t="str">
        <x:v>WORK-001/002</x:v>
      </x:c>
      <x:c r="D104" s="13" t="str">
        <x:v>作品历史API</x:v>
      </x:c>
      <x:c r="E104" s="13" t="str">
        <x:v>BE-HISTORY-01</x:v>
      </x:c>
      <x:c r="F104" s="13" t="str">
        <x:v>后端</x:v>
      </x:c>
      <x:c r="G104" s="13" t="str">
        <x:v>定义GET /api/generation/jobs请求响应契约</x:v>
      </x:c>
      <x:c r="H104" s="13" t="str">
        <x:v>共享Schema、类型和示例</x:v>
      </x:c>
      <x:c r="I104" s="13" t="str">
        <x:v>合法与非法样例可被自动校验</x:v>
      </x:c>
      <x:c r="J104" s="13" t="str">
        <x:v>—</x:v>
      </x:c>
      <x:c r="K104" s="13" t="str">
        <x:v>待完成</x:v>
      </x:c>
      <x:c r="L104" s="13" t="str">
        <x:v>09-04～09-06</x:v>
      </x:c>
      <x:c r="M104" s="13" t="str">
        <x:v>—</x:v>
      </x:c>
      <x:c r="N104" s="13" t="str">
        <x:v>job/variant/asset UUID；archive_id UUID；归档键=用户+选择集+尺寸</x:v>
      </x:c>
      <x:c r="O104" s="13" t="str">
        <x:v>asset available/expired；archive queued/processing/ready/failed/expired</x:v>
      </x:c>
      <x:c r="P104" s="13" t="str">
        <x:v>无选择、未就绪、尺寸缺失、URL过期、资产清理、归档失败</x:v>
      </x:c>
      <x:c r="Q104" s="13" t="str">
        <x:v>本人所有权校验；私有Bucket；短时签名URL</x:v>
      </x:c>
      <x:c r="R104" s="13" t="str">
        <x:v>相同归档24小时复用；作品30天；有效PNG进入个人数据导出</x:v>
      </x:c>
    </x:row>
    <x:row r="105" ht="68" customHeight="1">
      <x:c r="A105" s="13" t="str">
        <x:v>第 2 期</x:v>
      </x:c>
      <x:c r="B105" s="13" t="str">
        <x:v>3. 作品、预览与下载</x:v>
      </x:c>
      <x:c r="C105" s="13" t="str">
        <x:v>WORK-001/002</x:v>
      </x:c>
      <x:c r="D105" s="13" t="str">
        <x:v>作品历史API</x:v>
      </x:c>
      <x:c r="E105" s="13" t="str">
        <x:v>BE-HISTORY-02</x:v>
      </x:c>
      <x:c r="F105" s="13" t="str">
        <x:v>后端</x:v>
      </x:c>
      <x:c r="G105" s="13" t="str">
        <x:v>实现GET /api/generation/jobs输入校验</x:v>
      </x:c>
      <x:c r="H105" s="13" t="str">
        <x:v>边界校验与字段规范化</x:v>
      </x:c>
      <x:c r="I105" s="13" t="str">
        <x:v>非法输入在副作用前返回稳定400错误</x:v>
      </x:c>
      <x:c r="J105" s="13" t="str">
        <x:v>BE-HISTORY-01</x:v>
      </x:c>
      <x:c r="K105" s="13" t="str">
        <x:v>待完成</x:v>
      </x:c>
      <x:c r="L105" s="13" t="str">
        <x:v>09-04～09-06</x:v>
      </x:c>
      <x:c r="M105" s="13" t="str">
        <x:v>—</x:v>
      </x:c>
      <x:c r="N105" s="13" t="str">
        <x:v>job/variant/asset UUID；archive_id UUID；归档键=用户+选择集+尺寸</x:v>
      </x:c>
      <x:c r="O105" s="13" t="str">
        <x:v>asset available/expired；archive queued/processing/ready/failed/expired</x:v>
      </x:c>
      <x:c r="P105" s="13" t="str">
        <x:v>无选择、未就绪、尺寸缺失、URL过期、资产清理、归档失败</x:v>
      </x:c>
      <x:c r="Q105" s="13" t="str">
        <x:v>本人所有权校验；私有Bucket；短时签名URL</x:v>
      </x:c>
      <x:c r="R105" s="13" t="str">
        <x:v>相同归档24小时复用；作品30天；有效PNG进入个人数据导出</x:v>
      </x:c>
    </x:row>
    <x:row r="106" ht="68" customHeight="1">
      <x:c r="A106" s="13" t="str">
        <x:v>第 2 期</x:v>
      </x:c>
      <x:c r="B106" s="13" t="str">
        <x:v>3. 作品、预览与下载</x:v>
      </x:c>
      <x:c r="C106" s="13" t="str">
        <x:v>WORK-001/002</x:v>
      </x:c>
      <x:c r="D106" s="13" t="str">
        <x:v>作品历史API</x:v>
      </x:c>
      <x:c r="E106" s="13" t="str">
        <x:v>BE-HISTORY-03</x:v>
      </x:c>
      <x:c r="F106" s="13" t="str">
        <x:v>后端</x:v>
      </x:c>
      <x:c r="G106" s="13" t="str">
        <x:v>实现GET /api/generation/jobs身份与权限校验</x:v>
      </x:c>
      <x:c r="H106" s="13" t="str">
        <x:v>服务端鉴权和所有权检查</x:v>
      </x:c>
      <x:c r="I106" s="13" t="str">
        <x:v>未登录401；越权按规则403或404</x:v>
      </x:c>
      <x:c r="J106" s="13" t="str">
        <x:v>BE-HISTORY-01</x:v>
      </x:c>
      <x:c r="K106" s="13" t="str">
        <x:v>待完成</x:v>
      </x:c>
      <x:c r="L106" s="13" t="str">
        <x:v>09-04～09-06</x:v>
      </x:c>
      <x:c r="M106" s="13" t="str">
        <x:v>—</x:v>
      </x:c>
      <x:c r="N106" s="13" t="str">
        <x:v>job/variant/asset UUID；archive_id UUID；归档键=用户+选择集+尺寸</x:v>
      </x:c>
      <x:c r="O106" s="13" t="str">
        <x:v>asset available/expired；archive queued/processing/ready/failed/expired</x:v>
      </x:c>
      <x:c r="P106" s="13" t="str">
        <x:v>无选择、未就绪、尺寸缺失、URL过期、资产清理、归档失败</x:v>
      </x:c>
      <x:c r="Q106" s="13" t="str">
        <x:v>本人所有权校验；私有Bucket；短时签名URL</x:v>
      </x:c>
      <x:c r="R106" s="13" t="str">
        <x:v>相同归档24小时复用；作品30天；有效PNG进入个人数据导出</x:v>
      </x:c>
    </x:row>
    <x:row r="107" ht="68" customHeight="1">
      <x:c r="A107" s="13" t="str">
        <x:v>第 2 期</x:v>
      </x:c>
      <x:c r="B107" s="13" t="str">
        <x:v>3. 作品、预览与下载</x:v>
      </x:c>
      <x:c r="C107" s="13" t="str">
        <x:v>WORK-001/002</x:v>
      </x:c>
      <x:c r="D107" s="13" t="str">
        <x:v>作品历史API</x:v>
      </x:c>
      <x:c r="E107" s="13" t="str">
        <x:v>BE-HISTORY-04</x:v>
      </x:c>
      <x:c r="F107" s="13" t="str">
        <x:v>后端</x:v>
      </x:c>
      <x:c r="G107" s="13" t="str">
        <x:v>实现用户范围查询</x:v>
      </x:c>
      <x:c r="H107" s="13" t="str">
        <x:v>user_id过滤</x:v>
      </x:c>
      <x:c r="I107" s="13" t="str">
        <x:v>RLS和服务层双校验</x:v>
      </x:c>
      <x:c r="J107" s="13" t="str">
        <x:v>—</x:v>
      </x:c>
      <x:c r="K107" s="13" t="str">
        <x:v>待完成</x:v>
      </x:c>
      <x:c r="L107" s="13" t="str">
        <x:v>09-04～09-06</x:v>
      </x:c>
      <x:c r="M107" s="13" t="str">
        <x:v>—</x:v>
      </x:c>
      <x:c r="N107" s="13" t="str">
        <x:v>job/variant/asset UUID；archive_id UUID；归档键=用户+选择集+尺寸</x:v>
      </x:c>
      <x:c r="O107" s="13" t="str">
        <x:v>asset available/expired；archive queued/processing/ready/failed/expired</x:v>
      </x:c>
      <x:c r="P107" s="13" t="str">
        <x:v>无选择、未就绪、尺寸缺失、URL过期、资产清理、归档失败</x:v>
      </x:c>
      <x:c r="Q107" s="13" t="str">
        <x:v>本人所有权校验；私有Bucket；短时签名URL</x:v>
      </x:c>
      <x:c r="R107" s="13" t="str">
        <x:v>相同归档24小时复用；作品30天；有效PNG进入个人数据导出</x:v>
      </x:c>
    </x:row>
    <x:row r="108" ht="68" customHeight="1">
      <x:c r="A108" s="13" t="str">
        <x:v>第 2 期</x:v>
      </x:c>
      <x:c r="B108" s="13" t="str">
        <x:v>3. 作品、预览与下载</x:v>
      </x:c>
      <x:c r="C108" s="13" t="str">
        <x:v>WORK-001/002</x:v>
      </x:c>
      <x:c r="D108" s="13" t="str">
        <x:v>作品历史API</x:v>
      </x:c>
      <x:c r="E108" s="13" t="str">
        <x:v>BE-HISTORY-05</x:v>
      </x:c>
      <x:c r="F108" s="13" t="str">
        <x:v>后端</x:v>
      </x:c>
      <x:c r="G108" s="13" t="str">
        <x:v>实现状态筛选</x:v>
      </x:c>
      <x:c r="H108" s="13" t="str">
        <x:v>允许状态枚举</x:v>
      </x:c>
      <x:c r="I108" s="13" t="str">
        <x:v>未知筛选返回400</x:v>
      </x:c>
      <x:c r="J108" s="13" t="str">
        <x:v>—</x:v>
      </x:c>
      <x:c r="K108" s="13" t="str">
        <x:v>待完成</x:v>
      </x:c>
      <x:c r="L108" s="13" t="str">
        <x:v>09-04～09-06</x:v>
      </x:c>
      <x:c r="M108" s="13" t="str">
        <x:v>—</x:v>
      </x:c>
      <x:c r="N108" s="13" t="str">
        <x:v>job/variant/asset UUID；archive_id UUID；归档键=用户+选择集+尺寸</x:v>
      </x:c>
      <x:c r="O108" s="13" t="str">
        <x:v>asset available/expired；archive queued/processing/ready/failed/expired</x:v>
      </x:c>
      <x:c r="P108" s="13" t="str">
        <x:v>无选择、未就绪、尺寸缺失、URL过期、资产清理、归档失败</x:v>
      </x:c>
      <x:c r="Q108" s="13" t="str">
        <x:v>本人所有权校验；私有Bucket；短时签名URL</x:v>
      </x:c>
      <x:c r="R108" s="13" t="str">
        <x:v>相同归档24小时复用；作品30天；有效PNG进入个人数据导出</x:v>
      </x:c>
    </x:row>
    <x:row r="109" ht="68" customHeight="1">
      <x:c r="A109" s="13" t="str">
        <x:v>第 2 期</x:v>
      </x:c>
      <x:c r="B109" s="13" t="str">
        <x:v>3. 作品、预览与下载</x:v>
      </x:c>
      <x:c r="C109" s="13" t="str">
        <x:v>WORK-001/002</x:v>
      </x:c>
      <x:c r="D109" s="13" t="str">
        <x:v>作品历史API</x:v>
      </x:c>
      <x:c r="E109" s="13" t="str">
        <x:v>BE-HISTORY-06</x:v>
      </x:c>
      <x:c r="F109" s="13" t="str">
        <x:v>后端</x:v>
      </x:c>
      <x:c r="G109" s="13" t="str">
        <x:v>实现关键词搜索</x:v>
      </x:c>
      <x:c r="H109" s="13" t="str">
        <x:v>主体名称/描述安全查询</x:v>
      </x:c>
      <x:c r="I109" s="13" t="str">
        <x:v>不跨用户</x:v>
      </x:c>
      <x:c r="J109" s="13" t="str">
        <x:v>—</x:v>
      </x:c>
      <x:c r="K109" s="13" t="str">
        <x:v>待完成</x:v>
      </x:c>
      <x:c r="L109" s="13" t="str">
        <x:v>09-04～09-06</x:v>
      </x:c>
      <x:c r="M109" s="13" t="str">
        <x:v>—</x:v>
      </x:c>
      <x:c r="N109" s="13" t="str">
        <x:v>job/variant/asset UUID；archive_id UUID；归档键=用户+选择集+尺寸</x:v>
      </x:c>
      <x:c r="O109" s="13" t="str">
        <x:v>asset available/expired；archive queued/processing/ready/failed/expired</x:v>
      </x:c>
      <x:c r="P109" s="13" t="str">
        <x:v>无选择、未就绪、尺寸缺失、URL过期、资产清理、归档失败</x:v>
      </x:c>
      <x:c r="Q109" s="13" t="str">
        <x:v>本人所有权校验；私有Bucket；短时签名URL</x:v>
      </x:c>
      <x:c r="R109" s="13" t="str">
        <x:v>相同归档24小时复用；作品30天；有效PNG进入个人数据导出</x:v>
      </x:c>
    </x:row>
    <x:row r="110" ht="68" customHeight="1">
      <x:c r="A110" s="13" t="str">
        <x:v>第 2 期</x:v>
      </x:c>
      <x:c r="B110" s="13" t="str">
        <x:v>3. 作品、预览与下载</x:v>
      </x:c>
      <x:c r="C110" s="13" t="str">
        <x:v>WORK-001/002</x:v>
      </x:c>
      <x:c r="D110" s="13" t="str">
        <x:v>作品历史API</x:v>
      </x:c>
      <x:c r="E110" s="13" t="str">
        <x:v>BE-HISTORY-07</x:v>
      </x:c>
      <x:c r="F110" s="13" t="str">
        <x:v>后端</x:v>
      </x:c>
      <x:c r="G110" s="13" t="str">
        <x:v>实现游标分页</x:v>
      </x:c>
      <x:c r="H110" s="13" t="str">
        <x:v>created_at+id稳定游标</x:v>
      </x:c>
      <x:c r="I110" s="13" t="str">
        <x:v>新增数据不造成重复页</x:v>
      </x:c>
      <x:c r="J110" s="13" t="str">
        <x:v>—</x:v>
      </x:c>
      <x:c r="K110" s="13" t="str">
        <x:v>待完成</x:v>
      </x:c>
      <x:c r="L110" s="13" t="str">
        <x:v>09-04～09-06</x:v>
      </x:c>
      <x:c r="M110" s="13" t="str">
        <x:v>—</x:v>
      </x:c>
      <x:c r="N110" s="13" t="str">
        <x:v>job/variant/asset UUID；archive_id UUID；归档键=用户+选择集+尺寸</x:v>
      </x:c>
      <x:c r="O110" s="13" t="str">
        <x:v>asset available/expired；archive queued/processing/ready/failed/expired</x:v>
      </x:c>
      <x:c r="P110" s="13" t="str">
        <x:v>无选择、未就绪、尺寸缺失、URL过期、资产清理、归档失败</x:v>
      </x:c>
      <x:c r="Q110" s="13" t="str">
        <x:v>本人所有权校验；私有Bucket；短时签名URL</x:v>
      </x:c>
      <x:c r="R110" s="13" t="str">
        <x:v>相同归档24小时复用；作品30天；有效PNG进入个人数据导出</x:v>
      </x:c>
    </x:row>
    <x:row r="111" ht="68" customHeight="1">
      <x:c r="A111" s="13" t="str">
        <x:v>第 2 期</x:v>
      </x:c>
      <x:c r="B111" s="13" t="str">
        <x:v>3. 作品、预览与下载</x:v>
      </x:c>
      <x:c r="C111" s="13" t="str">
        <x:v>WORK-001/002</x:v>
      </x:c>
      <x:c r="D111" s="13" t="str">
        <x:v>作品历史API</x:v>
      </x:c>
      <x:c r="E111" s="13" t="str">
        <x:v>BE-HISTORY-08</x:v>
      </x:c>
      <x:c r="F111" s="13" t="str">
        <x:v>后端</x:v>
      </x:c>
      <x:c r="G111" s="13" t="str">
        <x:v>返回缩略图和到期时间</x:v>
      </x:c>
      <x:c r="H111" s="13" t="str">
        <x:v>previewUrl/expiresAt</x:v>
      </x:c>
      <x:c r="I111" s="13" t="str">
        <x:v>URL短时且过期状态准确</x:v>
      </x:c>
      <x:c r="J111" s="13" t="str">
        <x:v>—</x:v>
      </x:c>
      <x:c r="K111" s="13" t="str">
        <x:v>待完成</x:v>
      </x:c>
      <x:c r="L111" s="13" t="str">
        <x:v>09-04～09-06</x:v>
      </x:c>
      <x:c r="M111" s="13" t="str">
        <x:v>—</x:v>
      </x:c>
      <x:c r="N111" s="13" t="str">
        <x:v>job/variant/asset UUID；archive_id UUID；归档键=用户+选择集+尺寸</x:v>
      </x:c>
      <x:c r="O111" s="13" t="str">
        <x:v>asset available/expired；archive queued/processing/ready/failed/expired</x:v>
      </x:c>
      <x:c r="P111" s="13" t="str">
        <x:v>无选择、未就绪、尺寸缺失、URL过期、资产清理、归档失败</x:v>
      </x:c>
      <x:c r="Q111" s="13" t="str">
        <x:v>本人所有权校验；私有Bucket；短时签名URL</x:v>
      </x:c>
      <x:c r="R111" s="13" t="str">
        <x:v>相同归档24小时复用；作品30天；有效PNG进入个人数据导出</x:v>
      </x:c>
    </x:row>
    <x:row r="112" ht="68" customHeight="1">
      <x:c r="A112" s="13" t="str">
        <x:v>第 2 期</x:v>
      </x:c>
      <x:c r="B112" s="13" t="str">
        <x:v>3. 作品、预览与下载</x:v>
      </x:c>
      <x:c r="C112" s="13" t="str">
        <x:v>WORK-001/002</x:v>
      </x:c>
      <x:c r="D112" s="13" t="str">
        <x:v>作品历史API</x:v>
      </x:c>
      <x:c r="E112" s="13" t="str">
        <x:v>BE-HISTORY-09</x:v>
      </x:c>
      <x:c r="F112" s="13" t="str">
        <x:v>后端</x:v>
      </x:c>
      <x:c r="G112" s="13" t="str">
        <x:v>定义GET /api/generation/jobs稳定错误码</x:v>
      </x:c>
      <x:c r="H112" s="13" t="str">
        <x:v>错误枚举和HTTP映射</x:v>
      </x:c>
      <x:c r="I112" s="13" t="str">
        <x:v>前端无需解析内部错误正文</x:v>
      </x:c>
      <x:c r="J112" s="13" t="str">
        <x:v>BE-HISTORY-02</x:v>
      </x:c>
      <x:c r="K112" s="13" t="str">
        <x:v>待完成</x:v>
      </x:c>
      <x:c r="L112" s="13" t="str">
        <x:v>09-04～09-06</x:v>
      </x:c>
      <x:c r="M112" s="13" t="str">
        <x:v>—</x:v>
      </x:c>
      <x:c r="N112" s="13" t="str">
        <x:v>job/variant/asset UUID；archive_id UUID；归档键=用户+选择集+尺寸</x:v>
      </x:c>
      <x:c r="O112" s="13" t="str">
        <x:v>asset available/expired；archive queued/processing/ready/failed/expired</x:v>
      </x:c>
      <x:c r="P112" s="13" t="str">
        <x:v>无选择、未就绪、尺寸缺失、URL过期、资产清理、归档失败</x:v>
      </x:c>
      <x:c r="Q112" s="13" t="str">
        <x:v>本人所有权校验；私有Bucket；短时签名URL</x:v>
      </x:c>
      <x:c r="R112" s="13" t="str">
        <x:v>相同归档24小时复用；作品30天；有效PNG进入个人数据导出</x:v>
      </x:c>
    </x:row>
    <x:row r="113" ht="68" customHeight="1">
      <x:c r="A113" s="13" t="str">
        <x:v>第 2 期</x:v>
      </x:c>
      <x:c r="B113" s="13" t="str">
        <x:v>3. 作品、预览与下载</x:v>
      </x:c>
      <x:c r="C113" s="13" t="str">
        <x:v>WORK-001/002</x:v>
      </x:c>
      <x:c r="D113" s="13" t="str">
        <x:v>作品历史API</x:v>
      </x:c>
      <x:c r="E113" s="13" t="str">
        <x:v>BE-HISTORY-10</x:v>
      </x:c>
      <x:c r="F113" s="13" t="str">
        <x:v>后端</x:v>
      </x:c>
      <x:c r="G113" s="13" t="str">
        <x:v>编写GET /api/generation/jobs单元与集成测试</x:v>
      </x:c>
      <x:c r="H113" s="13" t="str">
        <x:v>成功/失败/重复/越权测试</x:v>
      </x:c>
      <x:c r="I113" s="13" t="str">
        <x:v>测试可重复运行且数据库副作用可核对</x:v>
      </x:c>
      <x:c r="J113" s="13" t="str">
        <x:v>—</x:v>
      </x:c>
      <x:c r="K113" s="13" t="str">
        <x:v>待完成</x:v>
      </x:c>
      <x:c r="L113" s="13" t="str">
        <x:v>09-04～09-06</x:v>
      </x:c>
      <x:c r="M113" s="13" t="str">
        <x:v>—</x:v>
      </x:c>
      <x:c r="N113" s="13" t="str">
        <x:v>job/variant/asset UUID；archive_id UUID；归档键=用户+选择集+尺寸</x:v>
      </x:c>
      <x:c r="O113" s="13" t="str">
        <x:v>asset available/expired；archive queued/processing/ready/failed/expired</x:v>
      </x:c>
      <x:c r="P113" s="13" t="str">
        <x:v>无选择、未就绪、尺寸缺失、URL过期、资产清理、归档失败</x:v>
      </x:c>
      <x:c r="Q113" s="13" t="str">
        <x:v>本人所有权校验；私有Bucket；短时签名URL</x:v>
      </x:c>
      <x:c r="R113" s="13" t="str">
        <x:v>相同归档24小时复用；作品30天；有效PNG进入个人数据导出</x:v>
      </x:c>
    </x:row>
    <x:row r="114" ht="68" customHeight="1">
      <x:c r="A114" s="13" t="str">
        <x:v>第 2 期</x:v>
      </x:c>
      <x:c r="B114" s="13" t="str">
        <x:v>3. 作品、预览与下载</x:v>
      </x:c>
      <x:c r="C114" s="13" t="str">
        <x:v>WORK-001/002</x:v>
      </x:c>
      <x:c r="D114" s="13" t="str">
        <x:v>作品历史API</x:v>
      </x:c>
      <x:c r="E114" s="13" t="str">
        <x:v>BE-HISTORY-11</x:v>
      </x:c>
      <x:c r="F114" s="13" t="str">
        <x:v>后端</x:v>
      </x:c>
      <x:c r="G114" s="13" t="str">
        <x:v>更新GET /api/generation/jobs接口文档</x:v>
      </x:c>
      <x:c r="H114" s="13" t="str">
        <x:v>请求、响应、错误、鉴权和示例</x:v>
      </x:c>
      <x:c r="I114" s="13" t="str">
        <x:v>前端可仅依据文档完成联调</x:v>
      </x:c>
      <x:c r="J114" s="13" t="str">
        <x:v>—</x:v>
      </x:c>
      <x:c r="K114" s="13" t="str">
        <x:v>待完成</x:v>
      </x:c>
      <x:c r="L114" s="13" t="str">
        <x:v>09-04～09-06</x:v>
      </x:c>
      <x:c r="M114" s="13" t="str">
        <x:v>—</x:v>
      </x:c>
      <x:c r="N114" s="13" t="str">
        <x:v>job/variant/asset UUID；archive_id UUID；归档键=用户+选择集+尺寸</x:v>
      </x:c>
      <x:c r="O114" s="13" t="str">
        <x:v>asset available/expired；archive queued/processing/ready/failed/expired</x:v>
      </x:c>
      <x:c r="P114" s="13" t="str">
        <x:v>无选择、未就绪、尺寸缺失、URL过期、资产清理、归档失败</x:v>
      </x:c>
      <x:c r="Q114" s="13" t="str">
        <x:v>本人所有权校验；私有Bucket；短时签名URL</x:v>
      </x:c>
      <x:c r="R114" s="13" t="str">
        <x:v>相同归档24小时复用；作品30天；有效PNG进入个人数据导出</x:v>
      </x:c>
    </x:row>
    <x:row r="115" ht="68" customHeight="1">
      <x:c r="A115" s="13" t="str">
        <x:v>第 2 期</x:v>
      </x:c>
      <x:c r="B115" s="13" t="str">
        <x:v>3. 作品、预览与下载</x:v>
      </x:c>
      <x:c r="C115" s="13" t="str">
        <x:v>GEN-010</x:v>
      </x:c>
      <x:c r="D115" s="13" t="str">
        <x:v>首选方案API</x:v>
      </x:c>
      <x:c r="E115" s="13" t="str">
        <x:v>BE-PRIMARY-01</x:v>
      </x:c>
      <x:c r="F115" s="13" t="str">
        <x:v>后端</x:v>
      </x:c>
      <x:c r="G115" s="13" t="str">
        <x:v>定义PATCH /api/generation/subjects/{id}/primary请求响应契约</x:v>
      </x:c>
      <x:c r="H115" s="13" t="str">
        <x:v>共享Schema、类型和示例</x:v>
      </x:c>
      <x:c r="I115" s="13" t="str">
        <x:v>合法与非法样例可被自动校验</x:v>
      </x:c>
      <x:c r="J115" s="13" t="str">
        <x:v>—</x:v>
      </x:c>
      <x:c r="K115" s="13" t="str">
        <x:v>待完成</x:v>
      </x:c>
      <x:c r="L115" s="13" t="str">
        <x:v>09-04～09-06</x:v>
      </x:c>
      <x:c r="M115" s="13" t="str">
        <x:v>—</x:v>
      </x:c>
      <x:c r="N115" s="13" t="str">
        <x:v>job/variant/asset UUID；archive_id UUID；归档键=用户+选择集+尺寸</x:v>
      </x:c>
      <x:c r="O115" s="13" t="str">
        <x:v>asset available/expired；archive queued/processing/ready/failed/expired</x:v>
      </x:c>
      <x:c r="P115" s="13" t="str">
        <x:v>无选择、未就绪、尺寸缺失、URL过期、资产清理、归档失败</x:v>
      </x:c>
      <x:c r="Q115" s="13" t="str">
        <x:v>本人所有权校验；私有Bucket；短时签名URL</x:v>
      </x:c>
      <x:c r="R115" s="13" t="str">
        <x:v>相同归档24小时复用；作品30天；有效PNG进入个人数据导出</x:v>
      </x:c>
    </x:row>
    <x:row r="116" ht="68" customHeight="1">
      <x:c r="A116" s="13" t="str">
        <x:v>第 2 期</x:v>
      </x:c>
      <x:c r="B116" s="13" t="str">
        <x:v>3. 作品、预览与下载</x:v>
      </x:c>
      <x:c r="C116" s="13" t="str">
        <x:v>GEN-010</x:v>
      </x:c>
      <x:c r="D116" s="13" t="str">
        <x:v>首选方案API</x:v>
      </x:c>
      <x:c r="E116" s="13" t="str">
        <x:v>BE-PRIMARY-02</x:v>
      </x:c>
      <x:c r="F116" s="13" t="str">
        <x:v>后端</x:v>
      </x:c>
      <x:c r="G116" s="13" t="str">
        <x:v>实现PATCH /api/generation/subjects/{id}/primary输入校验</x:v>
      </x:c>
      <x:c r="H116" s="13" t="str">
        <x:v>边界校验与字段规范化</x:v>
      </x:c>
      <x:c r="I116" s="13" t="str">
        <x:v>非法输入在副作用前返回稳定400错误</x:v>
      </x:c>
      <x:c r="J116" s="13" t="str">
        <x:v>BE-PRIMARY-01</x:v>
      </x:c>
      <x:c r="K116" s="13" t="str">
        <x:v>待完成</x:v>
      </x:c>
      <x:c r="L116" s="13" t="str">
        <x:v>09-04～09-06</x:v>
      </x:c>
      <x:c r="M116" s="13" t="str">
        <x:v>—</x:v>
      </x:c>
      <x:c r="N116" s="13" t="str">
        <x:v>job/variant/asset UUID；archive_id UUID；归档键=用户+选择集+尺寸</x:v>
      </x:c>
      <x:c r="O116" s="13" t="str">
        <x:v>asset available/expired；archive queued/processing/ready/failed/expired</x:v>
      </x:c>
      <x:c r="P116" s="13" t="str">
        <x:v>无选择、未就绪、尺寸缺失、URL过期、资产清理、归档失败</x:v>
      </x:c>
      <x:c r="Q116" s="13" t="str">
        <x:v>本人所有权校验；私有Bucket；短时签名URL</x:v>
      </x:c>
      <x:c r="R116" s="13" t="str">
        <x:v>相同归档24小时复用；作品30天；有效PNG进入个人数据导出</x:v>
      </x:c>
    </x:row>
    <x:row r="117" ht="68" customHeight="1">
      <x:c r="A117" s="13" t="str">
        <x:v>第 2 期</x:v>
      </x:c>
      <x:c r="B117" s="13" t="str">
        <x:v>3. 作品、预览与下载</x:v>
      </x:c>
      <x:c r="C117" s="13" t="str">
        <x:v>GEN-010</x:v>
      </x:c>
      <x:c r="D117" s="13" t="str">
        <x:v>首选方案API</x:v>
      </x:c>
      <x:c r="E117" s="13" t="str">
        <x:v>BE-PRIMARY-03</x:v>
      </x:c>
      <x:c r="F117" s="13" t="str">
        <x:v>后端</x:v>
      </x:c>
      <x:c r="G117" s="13" t="str">
        <x:v>实现PATCH /api/generation/subjects/{id}/primary身份与权限校验</x:v>
      </x:c>
      <x:c r="H117" s="13" t="str">
        <x:v>服务端鉴权和所有权检查</x:v>
      </x:c>
      <x:c r="I117" s="13" t="str">
        <x:v>未登录401；越权按规则403或404</x:v>
      </x:c>
      <x:c r="J117" s="13" t="str">
        <x:v>BE-PRIMARY-01</x:v>
      </x:c>
      <x:c r="K117" s="13" t="str">
        <x:v>待完成</x:v>
      </x:c>
      <x:c r="L117" s="13" t="str">
        <x:v>09-04～09-06</x:v>
      </x:c>
      <x:c r="M117" s="13" t="str">
        <x:v>—</x:v>
      </x:c>
      <x:c r="N117" s="13" t="str">
        <x:v>job/variant/asset UUID；archive_id UUID；归档键=用户+选择集+尺寸</x:v>
      </x:c>
      <x:c r="O117" s="13" t="str">
        <x:v>asset available/expired；archive queued/processing/ready/failed/expired</x:v>
      </x:c>
      <x:c r="P117" s="13" t="str">
        <x:v>无选择、未就绪、尺寸缺失、URL过期、资产清理、归档失败</x:v>
      </x:c>
      <x:c r="Q117" s="13" t="str">
        <x:v>本人所有权校验；私有Bucket；短时签名URL</x:v>
      </x:c>
      <x:c r="R117" s="13" t="str">
        <x:v>相同归档24小时复用；作品30天；有效PNG进入个人数据导出</x:v>
      </x:c>
    </x:row>
    <x:row r="118" ht="68" customHeight="1">
      <x:c r="A118" s="13" t="str">
        <x:v>第 2 期</x:v>
      </x:c>
      <x:c r="B118" s="13" t="str">
        <x:v>3. 作品、预览与下载</x:v>
      </x:c>
      <x:c r="C118" s="13" t="str">
        <x:v>GEN-010</x:v>
      </x:c>
      <x:c r="D118" s="13" t="str">
        <x:v>首选方案API</x:v>
      </x:c>
      <x:c r="E118" s="13" t="str">
        <x:v>BE-PRIMARY-04</x:v>
      </x:c>
      <x:c r="F118" s="13" t="str">
        <x:v>后端</x:v>
      </x:c>
      <x:c r="G118" s="13" t="str">
        <x:v>验证variant属于subject</x:v>
      </x:c>
      <x:c r="H118" s="13" t="str">
        <x:v>关系校验</x:v>
      </x:c>
      <x:c r="I118" s="13" t="str">
        <x:v>不能跨主体标记</x:v>
      </x:c>
      <x:c r="J118" s="13" t="str">
        <x:v>—</x:v>
      </x:c>
      <x:c r="K118" s="13" t="str">
        <x:v>待完成</x:v>
      </x:c>
      <x:c r="L118" s="13" t="str">
        <x:v>09-04～09-06</x:v>
      </x:c>
      <x:c r="M118" s="13" t="str">
        <x:v>—</x:v>
      </x:c>
      <x:c r="N118" s="13" t="str">
        <x:v>job/variant/asset UUID；archive_id UUID；归档键=用户+选择集+尺寸</x:v>
      </x:c>
      <x:c r="O118" s="13" t="str">
        <x:v>asset available/expired；archive queued/processing/ready/failed/expired</x:v>
      </x:c>
      <x:c r="P118" s="13" t="str">
        <x:v>无选择、未就绪、尺寸缺失、URL过期、资产清理、归档失败</x:v>
      </x:c>
      <x:c r="Q118" s="13" t="str">
        <x:v>本人所有权校验；私有Bucket；短时签名URL</x:v>
      </x:c>
      <x:c r="R118" s="13" t="str">
        <x:v>相同归档24小时复用；作品30天；有效PNG进入个人数据导出</x:v>
      </x:c>
    </x:row>
    <x:row r="119" ht="68" customHeight="1">
      <x:c r="A119" s="13" t="str">
        <x:v>第 2 期</x:v>
      </x:c>
      <x:c r="B119" s="13" t="str">
        <x:v>3. 作品、预览与下载</x:v>
      </x:c>
      <x:c r="C119" s="13" t="str">
        <x:v>GEN-010</x:v>
      </x:c>
      <x:c r="D119" s="13" t="str">
        <x:v>首选方案API</x:v>
      </x:c>
      <x:c r="E119" s="13" t="str">
        <x:v>BE-PRIMARY-05</x:v>
      </x:c>
      <x:c r="F119" s="13" t="str">
        <x:v>后端</x:v>
      </x:c>
      <x:c r="G119" s="13" t="str">
        <x:v>验证subject属于当前用户</x:v>
      </x:c>
      <x:c r="H119" s="13" t="str">
        <x:v>所有权链路</x:v>
      </x:c>
      <x:c r="I119" s="13" t="str">
        <x:v>越权返回404</x:v>
      </x:c>
      <x:c r="J119" s="13" t="str">
        <x:v>—</x:v>
      </x:c>
      <x:c r="K119" s="13" t="str">
        <x:v>待完成</x:v>
      </x:c>
      <x:c r="L119" s="13" t="str">
        <x:v>09-04～09-06</x:v>
      </x:c>
      <x:c r="M119" s="13" t="str">
        <x:v>—</x:v>
      </x:c>
      <x:c r="N119" s="13" t="str">
        <x:v>job/variant/asset UUID；archive_id UUID；归档键=用户+选择集+尺寸</x:v>
      </x:c>
      <x:c r="O119" s="13" t="str">
        <x:v>asset available/expired；archive queued/processing/ready/failed/expired</x:v>
      </x:c>
      <x:c r="P119" s="13" t="str">
        <x:v>无选择、未就绪、尺寸缺失、URL过期、资产清理、归档失败</x:v>
      </x:c>
      <x:c r="Q119" s="13" t="str">
        <x:v>本人所有权校验；私有Bucket；短时签名URL</x:v>
      </x:c>
      <x:c r="R119" s="13" t="str">
        <x:v>相同归档24小时复用；作品30天；有效PNG进入个人数据导出</x:v>
      </x:c>
    </x:row>
    <x:row r="120" ht="68" customHeight="1">
      <x:c r="A120" s="13" t="str">
        <x:v>第 2 期</x:v>
      </x:c>
      <x:c r="B120" s="13" t="str">
        <x:v>3. 作品、预览与下载</x:v>
      </x:c>
      <x:c r="C120" s="13" t="str">
        <x:v>GEN-010</x:v>
      </x:c>
      <x:c r="D120" s="13" t="str">
        <x:v>首选方案API</x:v>
      </x:c>
      <x:c r="E120" s="13" t="str">
        <x:v>BE-PRIMARY-06</x:v>
      </x:c>
      <x:c r="F120" s="13" t="str">
        <x:v>后端</x:v>
      </x:c>
      <x:c r="G120" s="13" t="str">
        <x:v>事务清除旧primary并设置新值</x:v>
      </x:c>
      <x:c r="H120" s="13" t="str">
        <x:v>每主体最多一个</x:v>
      </x:c>
      <x:c r="I120" s="13" t="str">
        <x:v>并发请求最终满足唯一约束</x:v>
      </x:c>
      <x:c r="J120" s="13" t="str">
        <x:v>—</x:v>
      </x:c>
      <x:c r="K120" s="13" t="str">
        <x:v>待完成</x:v>
      </x:c>
      <x:c r="L120" s="13" t="str">
        <x:v>09-04～09-06</x:v>
      </x:c>
      <x:c r="M120" s="13" t="str">
        <x:v>—</x:v>
      </x:c>
      <x:c r="N120" s="13" t="str">
        <x:v>job/variant/asset UUID；archive_id UUID；归档键=用户+选择集+尺寸</x:v>
      </x:c>
      <x:c r="O120" s="13" t="str">
        <x:v>asset available/expired；archive queued/processing/ready/failed/expired</x:v>
      </x:c>
      <x:c r="P120" s="13" t="str">
        <x:v>无选择、未就绪、尺寸缺失、URL过期、资产清理、归档失败</x:v>
      </x:c>
      <x:c r="Q120" s="13" t="str">
        <x:v>本人所有权校验；私有Bucket；短时签名URL</x:v>
      </x:c>
      <x:c r="R120" s="13" t="str">
        <x:v>相同归档24小时复用；作品30天；有效PNG进入个人数据导出</x:v>
      </x:c>
    </x:row>
    <x:row r="121" ht="68" customHeight="1">
      <x:c r="A121" s="13" t="str">
        <x:v>第 2 期</x:v>
      </x:c>
      <x:c r="B121" s="13" t="str">
        <x:v>3. 作品、预览与下载</x:v>
      </x:c>
      <x:c r="C121" s="13" t="str">
        <x:v>GEN-010</x:v>
      </x:c>
      <x:c r="D121" s="13" t="str">
        <x:v>首选方案API</x:v>
      </x:c>
      <x:c r="E121" s="13" t="str">
        <x:v>BE-PRIMARY-07</x:v>
      </x:c>
      <x:c r="F121" s="13" t="str">
        <x:v>后端</x:v>
      </x:c>
      <x:c r="G121" s="13" t="str">
        <x:v>定义PATCH /api/generation/subjects/{id}/primary稳定错误码</x:v>
      </x:c>
      <x:c r="H121" s="13" t="str">
        <x:v>错误枚举和HTTP映射</x:v>
      </x:c>
      <x:c r="I121" s="13" t="str">
        <x:v>前端无需解析内部错误正文</x:v>
      </x:c>
      <x:c r="J121" s="13" t="str">
        <x:v>BE-PRIMARY-02</x:v>
      </x:c>
      <x:c r="K121" s="13" t="str">
        <x:v>待完成</x:v>
      </x:c>
      <x:c r="L121" s="13" t="str">
        <x:v>09-04～09-06</x:v>
      </x:c>
      <x:c r="M121" s="13" t="str">
        <x:v>—</x:v>
      </x:c>
      <x:c r="N121" s="13" t="str">
        <x:v>job/variant/asset UUID；archive_id UUID；归档键=用户+选择集+尺寸</x:v>
      </x:c>
      <x:c r="O121" s="13" t="str">
        <x:v>asset available/expired；archive queued/processing/ready/failed/expired</x:v>
      </x:c>
      <x:c r="P121" s="13" t="str">
        <x:v>无选择、未就绪、尺寸缺失、URL过期、资产清理、归档失败</x:v>
      </x:c>
      <x:c r="Q121" s="13" t="str">
        <x:v>本人所有权校验；私有Bucket；短时签名URL</x:v>
      </x:c>
      <x:c r="R121" s="13" t="str">
        <x:v>相同归档24小时复用；作品30天；有效PNG进入个人数据导出</x:v>
      </x:c>
    </x:row>
    <x:row r="122" ht="68" customHeight="1">
      <x:c r="A122" s="13" t="str">
        <x:v>第 2 期</x:v>
      </x:c>
      <x:c r="B122" s="13" t="str">
        <x:v>3. 作品、预览与下载</x:v>
      </x:c>
      <x:c r="C122" s="13" t="str">
        <x:v>GEN-010</x:v>
      </x:c>
      <x:c r="D122" s="13" t="str">
        <x:v>首选方案API</x:v>
      </x:c>
      <x:c r="E122" s="13" t="str">
        <x:v>BE-PRIMARY-08</x:v>
      </x:c>
      <x:c r="F122" s="13" t="str">
        <x:v>后端</x:v>
      </x:c>
      <x:c r="G122" s="13" t="str">
        <x:v>编写PATCH /api/generation/subjects/{id}/primary单元与集成测试</x:v>
      </x:c>
      <x:c r="H122" s="13" t="str">
        <x:v>成功/失败/重复/越权测试</x:v>
      </x:c>
      <x:c r="I122" s="13" t="str">
        <x:v>测试可重复运行且数据库副作用可核对</x:v>
      </x:c>
      <x:c r="J122" s="13" t="str">
        <x:v>—</x:v>
      </x:c>
      <x:c r="K122" s="13" t="str">
        <x:v>待完成</x:v>
      </x:c>
      <x:c r="L122" s="13" t="str">
        <x:v>09-04～09-06</x:v>
      </x:c>
      <x:c r="M122" s="13" t="str">
        <x:v>—</x:v>
      </x:c>
      <x:c r="N122" s="13" t="str">
        <x:v>job/variant/asset UUID；archive_id UUID；归档键=用户+选择集+尺寸</x:v>
      </x:c>
      <x:c r="O122" s="13" t="str">
        <x:v>asset available/expired；archive queued/processing/ready/failed/expired</x:v>
      </x:c>
      <x:c r="P122" s="13" t="str">
        <x:v>无选择、未就绪、尺寸缺失、URL过期、资产清理、归档失败</x:v>
      </x:c>
      <x:c r="Q122" s="13" t="str">
        <x:v>本人所有权校验；私有Bucket；短时签名URL</x:v>
      </x:c>
      <x:c r="R122" s="13" t="str">
        <x:v>相同归档24小时复用；作品30天；有效PNG进入个人数据导出</x:v>
      </x:c>
    </x:row>
    <x:row r="123" ht="68" customHeight="1">
      <x:c r="A123" s="13" t="str">
        <x:v>第 2 期</x:v>
      </x:c>
      <x:c r="B123" s="13" t="str">
        <x:v>3. 作品、预览与下载</x:v>
      </x:c>
      <x:c r="C123" s="13" t="str">
        <x:v>GEN-010</x:v>
      </x:c>
      <x:c r="D123" s="13" t="str">
        <x:v>首选方案API</x:v>
      </x:c>
      <x:c r="E123" s="13" t="str">
        <x:v>BE-PRIMARY-09</x:v>
      </x:c>
      <x:c r="F123" s="13" t="str">
        <x:v>后端</x:v>
      </x:c>
      <x:c r="G123" s="13" t="str">
        <x:v>更新PATCH /api/generation/subjects/{id}/primary接口文档</x:v>
      </x:c>
      <x:c r="H123" s="13" t="str">
        <x:v>请求、响应、错误、鉴权和示例</x:v>
      </x:c>
      <x:c r="I123" s="13" t="str">
        <x:v>前端可仅依据文档完成联调</x:v>
      </x:c>
      <x:c r="J123" s="13" t="str">
        <x:v>—</x:v>
      </x:c>
      <x:c r="K123" s="13" t="str">
        <x:v>待完成</x:v>
      </x:c>
      <x:c r="L123" s="13" t="str">
        <x:v>09-04～09-06</x:v>
      </x:c>
      <x:c r="M123" s="13" t="str">
        <x:v>—</x:v>
      </x:c>
      <x:c r="N123" s="13" t="str">
        <x:v>job/variant/asset UUID；archive_id UUID；归档键=用户+选择集+尺寸</x:v>
      </x:c>
      <x:c r="O123" s="13" t="str">
        <x:v>asset available/expired；archive queued/processing/ready/failed/expired</x:v>
      </x:c>
      <x:c r="P123" s="13" t="str">
        <x:v>无选择、未就绪、尺寸缺失、URL过期、资产清理、归档失败</x:v>
      </x:c>
      <x:c r="Q123" s="13" t="str">
        <x:v>本人所有权校验；私有Bucket；短时签名URL</x:v>
      </x:c>
      <x:c r="R123" s="13" t="str">
        <x:v>相同归档24小时复用；作品30天；有效PNG进入个人数据导出</x:v>
      </x:c>
    </x:row>
    <x:row r="124" ht="68" customHeight="1">
      <x:c r="A124" s="13" t="str">
        <x:v>第 2 期</x:v>
      </x:c>
      <x:c r="B124" s="13" t="str">
        <x:v>3. 作品、预览与下载</x:v>
      </x:c>
      <x:c r="C124" s="13" t="str">
        <x:v>WORK-003</x:v>
      </x:c>
      <x:c r="D124" s="13" t="str">
        <x:v>单图签名下载</x:v>
      </x:c>
      <x:c r="E124" s="13" t="str">
        <x:v>BE-DOWNLOAD-01</x:v>
      </x:c>
      <x:c r="F124" s="13" t="str">
        <x:v>后端</x:v>
      </x:c>
      <x:c r="G124" s="13" t="str">
        <x:v>定义POST /api/generation/variants/{id}/download-url请求响应契约</x:v>
      </x:c>
      <x:c r="H124" s="13" t="str">
        <x:v>共享Schema、类型和示例</x:v>
      </x:c>
      <x:c r="I124" s="13" t="str">
        <x:v>合法与非法样例可被自动校验</x:v>
      </x:c>
      <x:c r="J124" s="13" t="str">
        <x:v>—</x:v>
      </x:c>
      <x:c r="K124" s="13" t="str">
        <x:v>待完成</x:v>
      </x:c>
      <x:c r="L124" s="13" t="str">
        <x:v>09-06～09-07</x:v>
      </x:c>
      <x:c r="M124" s="13" t="str">
        <x:v>—</x:v>
      </x:c>
      <x:c r="N124" s="13" t="str">
        <x:v>job/variant/asset UUID；archive_id UUID；归档键=用户+选择集+尺寸</x:v>
      </x:c>
      <x:c r="O124" s="13" t="str">
        <x:v>asset available/expired；archive queued/processing/ready/failed/expired</x:v>
      </x:c>
      <x:c r="P124" s="13" t="str">
        <x:v>无选择、未就绪、尺寸缺失、URL过期、资产清理、归档失败</x:v>
      </x:c>
      <x:c r="Q124" s="13" t="str">
        <x:v>本人所有权校验；私有Bucket；短时签名URL</x:v>
      </x:c>
      <x:c r="R124" s="13" t="str">
        <x:v>相同归档24小时复用；作品30天；有效PNG进入个人数据导出</x:v>
      </x:c>
    </x:row>
    <x:row r="125" ht="68" customHeight="1">
      <x:c r="A125" s="13" t="str">
        <x:v>第 2 期</x:v>
      </x:c>
      <x:c r="B125" s="13" t="str">
        <x:v>3. 作品、预览与下载</x:v>
      </x:c>
      <x:c r="C125" s="13" t="str">
        <x:v>WORK-003</x:v>
      </x:c>
      <x:c r="D125" s="13" t="str">
        <x:v>单图签名下载</x:v>
      </x:c>
      <x:c r="E125" s="13" t="str">
        <x:v>BE-DOWNLOAD-02</x:v>
      </x:c>
      <x:c r="F125" s="13" t="str">
        <x:v>后端</x:v>
      </x:c>
      <x:c r="G125" s="13" t="str">
        <x:v>实现POST /api/generation/variants/{id}/download-url输入校验</x:v>
      </x:c>
      <x:c r="H125" s="13" t="str">
        <x:v>边界校验与字段规范化</x:v>
      </x:c>
      <x:c r="I125" s="13" t="str">
        <x:v>非法输入在副作用前返回稳定400错误</x:v>
      </x:c>
      <x:c r="J125" s="13" t="str">
        <x:v>BE-DOWNLOAD-01</x:v>
      </x:c>
      <x:c r="K125" s="13" t="str">
        <x:v>待完成</x:v>
      </x:c>
      <x:c r="L125" s="13" t="str">
        <x:v>09-06～09-07</x:v>
      </x:c>
      <x:c r="M125" s="13" t="str">
        <x:v>—</x:v>
      </x:c>
      <x:c r="N125" s="13" t="str">
        <x:v>job/variant/asset UUID；archive_id UUID；归档键=用户+选择集+尺寸</x:v>
      </x:c>
      <x:c r="O125" s="13" t="str">
        <x:v>asset available/expired；archive queued/processing/ready/failed/expired</x:v>
      </x:c>
      <x:c r="P125" s="13" t="str">
        <x:v>无选择、未就绪、尺寸缺失、URL过期、资产清理、归档失败</x:v>
      </x:c>
      <x:c r="Q125" s="13" t="str">
        <x:v>本人所有权校验；私有Bucket；短时签名URL</x:v>
      </x:c>
      <x:c r="R125" s="13" t="str">
        <x:v>相同归档24小时复用；作品30天；有效PNG进入个人数据导出</x:v>
      </x:c>
    </x:row>
    <x:row r="126" ht="68" customHeight="1">
      <x:c r="A126" s="13" t="str">
        <x:v>第 2 期</x:v>
      </x:c>
      <x:c r="B126" s="13" t="str">
        <x:v>3. 作品、预览与下载</x:v>
      </x:c>
      <x:c r="C126" s="13" t="str">
        <x:v>WORK-003</x:v>
      </x:c>
      <x:c r="D126" s="13" t="str">
        <x:v>单图签名下载</x:v>
      </x:c>
      <x:c r="E126" s="13" t="str">
        <x:v>BE-DOWNLOAD-03</x:v>
      </x:c>
      <x:c r="F126" s="13" t="str">
        <x:v>后端</x:v>
      </x:c>
      <x:c r="G126" s="13" t="str">
        <x:v>实现POST /api/generation/variants/{id}/download-url身份与权限校验</x:v>
      </x:c>
      <x:c r="H126" s="13" t="str">
        <x:v>服务端鉴权和所有权检查</x:v>
      </x:c>
      <x:c r="I126" s="13" t="str">
        <x:v>未登录401；越权按规则403或404</x:v>
      </x:c>
      <x:c r="J126" s="13" t="str">
        <x:v>BE-DOWNLOAD-01</x:v>
      </x:c>
      <x:c r="K126" s="13" t="str">
        <x:v>待完成</x:v>
      </x:c>
      <x:c r="L126" s="13" t="str">
        <x:v>09-06～09-07</x:v>
      </x:c>
      <x:c r="M126" s="13" t="str">
        <x:v>—</x:v>
      </x:c>
      <x:c r="N126" s="13" t="str">
        <x:v>job/variant/asset UUID；archive_id UUID；归档键=用户+选择集+尺寸</x:v>
      </x:c>
      <x:c r="O126" s="13" t="str">
        <x:v>asset available/expired；archive queued/processing/ready/failed/expired</x:v>
      </x:c>
      <x:c r="P126" s="13" t="str">
        <x:v>无选择、未就绪、尺寸缺失、URL过期、资产清理、归档失败</x:v>
      </x:c>
      <x:c r="Q126" s="13" t="str">
        <x:v>本人所有权校验；私有Bucket；短时签名URL</x:v>
      </x:c>
      <x:c r="R126" s="13" t="str">
        <x:v>相同归档24小时复用；作品30天；有效PNG进入个人数据导出</x:v>
      </x:c>
    </x:row>
    <x:row r="127" ht="68" customHeight="1">
      <x:c r="A127" s="13" t="str">
        <x:v>第 2 期</x:v>
      </x:c>
      <x:c r="B127" s="13" t="str">
        <x:v>3. 作品、预览与下载</x:v>
      </x:c>
      <x:c r="C127" s="13" t="str">
        <x:v>WORK-003</x:v>
      </x:c>
      <x:c r="D127" s="13" t="str">
        <x:v>单图签名下载</x:v>
      </x:c>
      <x:c r="E127" s="13" t="str">
        <x:v>BE-DOWNLOAD-04</x:v>
      </x:c>
      <x:c r="F127" s="13" t="str">
        <x:v>后端</x:v>
      </x:c>
      <x:c r="G127" s="13" t="str">
        <x:v>验证variant和size存在</x:v>
      </x:c>
      <x:c r="H127" s="13" t="str">
        <x:v>资源关系检查</x:v>
      </x:c>
      <x:c r="I127" s="13" t="str">
        <x:v>未就绪返回DOWNLOAD_NOT_READY</x:v>
      </x:c>
      <x:c r="J127" s="13" t="str">
        <x:v>—</x:v>
      </x:c>
      <x:c r="K127" s="13" t="str">
        <x:v>待完成</x:v>
      </x:c>
      <x:c r="L127" s="13" t="str">
        <x:v>09-06～09-07</x:v>
      </x:c>
      <x:c r="M127" s="13" t="str">
        <x:v>—</x:v>
      </x:c>
      <x:c r="N127" s="13" t="str">
        <x:v>job/variant/asset UUID；archive_id UUID；归档键=用户+选择集+尺寸</x:v>
      </x:c>
      <x:c r="O127" s="13" t="str">
        <x:v>asset available/expired；archive queued/processing/ready/failed/expired</x:v>
      </x:c>
      <x:c r="P127" s="13" t="str">
        <x:v>无选择、未就绪、尺寸缺失、URL过期、资产清理、归档失败</x:v>
      </x:c>
      <x:c r="Q127" s="13" t="str">
        <x:v>本人所有权校验；私有Bucket；短时签名URL</x:v>
      </x:c>
      <x:c r="R127" s="13" t="str">
        <x:v>相同归档24小时复用；作品30天；有效PNG进入个人数据导出</x:v>
      </x:c>
    </x:row>
    <x:row r="128" ht="68" customHeight="1">
      <x:c r="A128" s="13" t="str">
        <x:v>第 2 期</x:v>
      </x:c>
      <x:c r="B128" s="13" t="str">
        <x:v>3. 作品、预览与下载</x:v>
      </x:c>
      <x:c r="C128" s="13" t="str">
        <x:v>WORK-003</x:v>
      </x:c>
      <x:c r="D128" s="13" t="str">
        <x:v>单图签名下载</x:v>
      </x:c>
      <x:c r="E128" s="13" t="str">
        <x:v>BE-DOWNLOAD-05</x:v>
      </x:c>
      <x:c r="F128" s="13" t="str">
        <x:v>后端</x:v>
      </x:c>
      <x:c r="G128" s="13" t="str">
        <x:v>验证资产未过期</x:v>
      </x:c>
      <x:c r="H128" s="13" t="str">
        <x:v>expiresAt/对象存在</x:v>
      </x:c>
      <x:c r="I128" s="13" t="str">
        <x:v>过期返回资源已失效</x:v>
      </x:c>
      <x:c r="J128" s="13" t="str">
        <x:v>—</x:v>
      </x:c>
      <x:c r="K128" s="13" t="str">
        <x:v>待完成</x:v>
      </x:c>
      <x:c r="L128" s="13" t="str">
        <x:v>09-06～09-07</x:v>
      </x:c>
      <x:c r="M128" s="13" t="str">
        <x:v>—</x:v>
      </x:c>
      <x:c r="N128" s="13" t="str">
        <x:v>job/variant/asset UUID；archive_id UUID；归档键=用户+选择集+尺寸</x:v>
      </x:c>
      <x:c r="O128" s="13" t="str">
        <x:v>asset available/expired；archive queued/processing/ready/failed/expired</x:v>
      </x:c>
      <x:c r="P128" s="13" t="str">
        <x:v>无选择、未就绪、尺寸缺失、URL过期、资产清理、归档失败</x:v>
      </x:c>
      <x:c r="Q128" s="13" t="str">
        <x:v>本人所有权校验；私有Bucket；短时签名URL</x:v>
      </x:c>
      <x:c r="R128" s="13" t="str">
        <x:v>相同归档24小时复用；作品30天；有效PNG进入个人数据导出</x:v>
      </x:c>
    </x:row>
    <x:row r="129" ht="68" customHeight="1">
      <x:c r="A129" s="13" t="str">
        <x:v>第 2 期</x:v>
      </x:c>
      <x:c r="B129" s="13" t="str">
        <x:v>3. 作品、预览与下载</x:v>
      </x:c>
      <x:c r="C129" s="13" t="str">
        <x:v>WORK-003</x:v>
      </x:c>
      <x:c r="D129" s="13" t="str">
        <x:v>单图签名下载</x:v>
      </x:c>
      <x:c r="E129" s="13" t="str">
        <x:v>BE-DOWNLOAD-06</x:v>
      </x:c>
      <x:c r="F129" s="13" t="str">
        <x:v>后端</x:v>
      </x:c>
      <x:c r="G129" s="13" t="str">
        <x:v>生成短时签名URL</x:v>
      </x:c>
      <x:c r="H129" s="13" t="str">
        <x:v>私有Bucket签名</x:v>
      </x:c>
      <x:c r="I129" s="13" t="str">
        <x:v>URL不暴露服务端凭据</x:v>
      </x:c>
      <x:c r="J129" s="13" t="str">
        <x:v>—</x:v>
      </x:c>
      <x:c r="K129" s="13" t="str">
        <x:v>待完成</x:v>
      </x:c>
      <x:c r="L129" s="13" t="str">
        <x:v>09-06～09-07</x:v>
      </x:c>
      <x:c r="M129" s="13" t="str">
        <x:v>—</x:v>
      </x:c>
      <x:c r="N129" s="13" t="str">
        <x:v>job/variant/asset UUID；archive_id UUID；归档键=用户+选择集+尺寸</x:v>
      </x:c>
      <x:c r="O129" s="13" t="str">
        <x:v>asset available/expired；archive queued/processing/ready/failed/expired</x:v>
      </x:c>
      <x:c r="P129" s="13" t="str">
        <x:v>无选择、未就绪、尺寸缺失、URL过期、资产清理、归档失败</x:v>
      </x:c>
      <x:c r="Q129" s="13" t="str">
        <x:v>本人所有权校验；私有Bucket；短时签名URL</x:v>
      </x:c>
      <x:c r="R129" s="13" t="str">
        <x:v>相同归档24小时复用；作品30天；有效PNG进入个人数据导出</x:v>
      </x:c>
    </x:row>
    <x:row r="130" ht="68" customHeight="1">
      <x:c r="A130" s="13" t="str">
        <x:v>第 2 期</x:v>
      </x:c>
      <x:c r="B130" s="13" t="str">
        <x:v>3. 作品、预览与下载</x:v>
      </x:c>
      <x:c r="C130" s="13" t="str">
        <x:v>WORK-003</x:v>
      </x:c>
      <x:c r="D130" s="13" t="str">
        <x:v>单图签名下载</x:v>
      </x:c>
      <x:c r="E130" s="13" t="str">
        <x:v>BE-DOWNLOAD-07</x:v>
      </x:c>
      <x:c r="F130" s="13" t="str">
        <x:v>后端</x:v>
      </x:c>
      <x:c r="G130" s="13" t="str">
        <x:v>生成安全文件名</x:v>
      </x:c>
      <x:c r="H130" s="13" t="str">
        <x:v>subject-v{slot}-{size}px.png</x:v>
      </x:c>
      <x:c r="I130" s="13" t="str">
        <x:v>过滤路径字符</x:v>
      </x:c>
      <x:c r="J130" s="13" t="str">
        <x:v>—</x:v>
      </x:c>
      <x:c r="K130" s="13" t="str">
        <x:v>待完成</x:v>
      </x:c>
      <x:c r="L130" s="13" t="str">
        <x:v>09-06～09-07</x:v>
      </x:c>
      <x:c r="M130" s="13" t="str">
        <x:v>—</x:v>
      </x:c>
      <x:c r="N130" s="13" t="str">
        <x:v>job/variant/asset UUID；archive_id UUID；归档键=用户+选择集+尺寸</x:v>
      </x:c>
      <x:c r="O130" s="13" t="str">
        <x:v>asset available/expired；archive queued/processing/ready/failed/expired</x:v>
      </x:c>
      <x:c r="P130" s="13" t="str">
        <x:v>无选择、未就绪、尺寸缺失、URL过期、资产清理、归档失败</x:v>
      </x:c>
      <x:c r="Q130" s="13" t="str">
        <x:v>本人所有权校验；私有Bucket；短时签名URL</x:v>
      </x:c>
      <x:c r="R130" s="13" t="str">
        <x:v>相同归档24小时复用；作品30天；有效PNG进入个人数据导出</x:v>
      </x:c>
    </x:row>
    <x:row r="131" ht="68" customHeight="1">
      <x:c r="A131" s="13" t="str">
        <x:v>第 2 期</x:v>
      </x:c>
      <x:c r="B131" s="13" t="str">
        <x:v>3. 作品、预览与下载</x:v>
      </x:c>
      <x:c r="C131" s="13" t="str">
        <x:v>WORK-003</x:v>
      </x:c>
      <x:c r="D131" s="13" t="str">
        <x:v>单图签名下载</x:v>
      </x:c>
      <x:c r="E131" s="13" t="str">
        <x:v>BE-DOWNLOAD-08</x:v>
      </x:c>
      <x:c r="F131" s="13" t="str">
        <x:v>后端</x:v>
      </x:c>
      <x:c r="G131" s="13" t="str">
        <x:v>定义POST /api/generation/variants/{id}/download-url稳定错误码</x:v>
      </x:c>
      <x:c r="H131" s="13" t="str">
        <x:v>错误枚举和HTTP映射</x:v>
      </x:c>
      <x:c r="I131" s="13" t="str">
        <x:v>前端无需解析内部错误正文</x:v>
      </x:c>
      <x:c r="J131" s="13" t="str">
        <x:v>BE-DOWNLOAD-02</x:v>
      </x:c>
      <x:c r="K131" s="13" t="str">
        <x:v>待完成</x:v>
      </x:c>
      <x:c r="L131" s="13" t="str">
        <x:v>09-06～09-07</x:v>
      </x:c>
      <x:c r="M131" s="13" t="str">
        <x:v>—</x:v>
      </x:c>
      <x:c r="N131" s="13" t="str">
        <x:v>job/variant/asset UUID；archive_id UUID；归档键=用户+选择集+尺寸</x:v>
      </x:c>
      <x:c r="O131" s="13" t="str">
        <x:v>asset available/expired；archive queued/processing/ready/failed/expired</x:v>
      </x:c>
      <x:c r="P131" s="13" t="str">
        <x:v>无选择、未就绪、尺寸缺失、URL过期、资产清理、归档失败</x:v>
      </x:c>
      <x:c r="Q131" s="13" t="str">
        <x:v>本人所有权校验；私有Bucket；短时签名URL</x:v>
      </x:c>
      <x:c r="R131" s="13" t="str">
        <x:v>相同归档24小时复用；作品30天；有效PNG进入个人数据导出</x:v>
      </x:c>
    </x:row>
    <x:row r="132" ht="68" customHeight="1">
      <x:c r="A132" s="13" t="str">
        <x:v>第 2 期</x:v>
      </x:c>
      <x:c r="B132" s="13" t="str">
        <x:v>3. 作品、预览与下载</x:v>
      </x:c>
      <x:c r="C132" s="13" t="str">
        <x:v>WORK-003</x:v>
      </x:c>
      <x:c r="D132" s="13" t="str">
        <x:v>单图签名下载</x:v>
      </x:c>
      <x:c r="E132" s="13" t="str">
        <x:v>BE-DOWNLOAD-09</x:v>
      </x:c>
      <x:c r="F132" s="13" t="str">
        <x:v>后端</x:v>
      </x:c>
      <x:c r="G132" s="13" t="str">
        <x:v>编写POST /api/generation/variants/{id}/download-url单元与集成测试</x:v>
      </x:c>
      <x:c r="H132" s="13" t="str">
        <x:v>成功/失败/重复/越权测试</x:v>
      </x:c>
      <x:c r="I132" s="13" t="str">
        <x:v>测试可重复运行且数据库副作用可核对</x:v>
      </x:c>
      <x:c r="J132" s="13" t="str">
        <x:v>—</x:v>
      </x:c>
      <x:c r="K132" s="13" t="str">
        <x:v>待完成</x:v>
      </x:c>
      <x:c r="L132" s="13" t="str">
        <x:v>09-06～09-07</x:v>
      </x:c>
      <x:c r="M132" s="13" t="str">
        <x:v>—</x:v>
      </x:c>
      <x:c r="N132" s="13" t="str">
        <x:v>job/variant/asset UUID；archive_id UUID；归档键=用户+选择集+尺寸</x:v>
      </x:c>
      <x:c r="O132" s="13" t="str">
        <x:v>asset available/expired；archive queued/processing/ready/failed/expired</x:v>
      </x:c>
      <x:c r="P132" s="13" t="str">
        <x:v>无选择、未就绪、尺寸缺失、URL过期、资产清理、归档失败</x:v>
      </x:c>
      <x:c r="Q132" s="13" t="str">
        <x:v>本人所有权校验；私有Bucket；短时签名URL</x:v>
      </x:c>
      <x:c r="R132" s="13" t="str">
        <x:v>相同归档24小时复用；作品30天；有效PNG进入个人数据导出</x:v>
      </x:c>
    </x:row>
    <x:row r="133" ht="68" customHeight="1">
      <x:c r="A133" s="13" t="str">
        <x:v>第 2 期</x:v>
      </x:c>
      <x:c r="B133" s="13" t="str">
        <x:v>3. 作品、预览与下载</x:v>
      </x:c>
      <x:c r="C133" s="13" t="str">
        <x:v>WORK-003</x:v>
      </x:c>
      <x:c r="D133" s="13" t="str">
        <x:v>单图签名下载</x:v>
      </x:c>
      <x:c r="E133" s="13" t="str">
        <x:v>BE-DOWNLOAD-10</x:v>
      </x:c>
      <x:c r="F133" s="13" t="str">
        <x:v>后端</x:v>
      </x:c>
      <x:c r="G133" s="13" t="str">
        <x:v>更新POST /api/generation/variants/{id}/download-url接口文档</x:v>
      </x:c>
      <x:c r="H133" s="13" t="str">
        <x:v>请求、响应、错误、鉴权和示例</x:v>
      </x:c>
      <x:c r="I133" s="13" t="str">
        <x:v>前端可仅依据文档完成联调</x:v>
      </x:c>
      <x:c r="J133" s="13" t="str">
        <x:v>—</x:v>
      </x:c>
      <x:c r="K133" s="13" t="str">
        <x:v>待完成</x:v>
      </x:c>
      <x:c r="L133" s="13" t="str">
        <x:v>09-06～09-07</x:v>
      </x:c>
      <x:c r="M133" s="13" t="str">
        <x:v>—</x:v>
      </x:c>
      <x:c r="N133" s="13" t="str">
        <x:v>job/variant/asset UUID；archive_id UUID；归档键=用户+选择集+尺寸</x:v>
      </x:c>
      <x:c r="O133" s="13" t="str">
        <x:v>asset available/expired；archive queued/processing/ready/failed/expired</x:v>
      </x:c>
      <x:c r="P133" s="13" t="str">
        <x:v>无选择、未就绪、尺寸缺失、URL过期、资产清理、归档失败</x:v>
      </x:c>
      <x:c r="Q133" s="13" t="str">
        <x:v>本人所有权校验；私有Bucket；短时签名URL</x:v>
      </x:c>
      <x:c r="R133" s="13" t="str">
        <x:v>相同归档24小时复用；作品30天；有效PNG进入个人数据导出</x:v>
      </x:c>
    </x:row>
    <x:row r="134" ht="68" customHeight="1">
      <x:c r="A134" s="13" t="str">
        <x:v>第 2 期</x:v>
      </x:c>
      <x:c r="B134" s="13" t="str">
        <x:v>3. 作品、预览与下载</x:v>
      </x:c>
      <x:c r="C134" s="13" t="str">
        <x:v>WORK-004</x:v>
      </x:c>
      <x:c r="D134" s="13" t="str">
        <x:v>选中结果ZIP</x:v>
      </x:c>
      <x:c r="E134" s="13" t="str">
        <x:v>BE-ARCHIVE-01</x:v>
      </x:c>
      <x:c r="F134" s="13" t="str">
        <x:v>后端</x:v>
      </x:c>
      <x:c r="G134" s="13" t="str">
        <x:v>定义POST/GET downloads请求响应契约</x:v>
      </x:c>
      <x:c r="H134" s="13" t="str">
        <x:v>共享Schema、类型和示例</x:v>
      </x:c>
      <x:c r="I134" s="13" t="str">
        <x:v>合法与非法样例可被自动校验</x:v>
      </x:c>
      <x:c r="J134" s="13" t="str">
        <x:v>—</x:v>
      </x:c>
      <x:c r="K134" s="13" t="str">
        <x:v>待完成</x:v>
      </x:c>
      <x:c r="L134" s="13" t="str">
        <x:v>09-07～09-09</x:v>
      </x:c>
      <x:c r="M134" s="13" t="str">
        <x:v>—</x:v>
      </x:c>
      <x:c r="N134" s="13" t="str">
        <x:v>job/variant/asset UUID；archive_id UUID；归档键=用户+选择集+尺寸</x:v>
      </x:c>
      <x:c r="O134" s="13" t="str">
        <x:v>asset available/expired；archive queued/processing/ready/failed/expired</x:v>
      </x:c>
      <x:c r="P134" s="13" t="str">
        <x:v>无选择、未就绪、尺寸缺失、URL过期、资产清理、归档失败</x:v>
      </x:c>
      <x:c r="Q134" s="13" t="str">
        <x:v>本人所有权校验；私有Bucket；短时签名URL</x:v>
      </x:c>
      <x:c r="R134" s="13" t="str">
        <x:v>相同归档24小时复用；作品30天；有效PNG进入个人数据导出</x:v>
      </x:c>
    </x:row>
    <x:row r="135" ht="68" customHeight="1">
      <x:c r="A135" s="13" t="str">
        <x:v>第 2 期</x:v>
      </x:c>
      <x:c r="B135" s="13" t="str">
        <x:v>3. 作品、预览与下载</x:v>
      </x:c>
      <x:c r="C135" s="13" t="str">
        <x:v>WORK-004</x:v>
      </x:c>
      <x:c r="D135" s="13" t="str">
        <x:v>选中结果ZIP</x:v>
      </x:c>
      <x:c r="E135" s="13" t="str">
        <x:v>BE-ARCHIVE-02</x:v>
      </x:c>
      <x:c r="F135" s="13" t="str">
        <x:v>后端</x:v>
      </x:c>
      <x:c r="G135" s="13" t="str">
        <x:v>实现POST/GET downloads输入校验</x:v>
      </x:c>
      <x:c r="H135" s="13" t="str">
        <x:v>边界校验与字段规范化</x:v>
      </x:c>
      <x:c r="I135" s="13" t="str">
        <x:v>非法输入在副作用前返回稳定400错误</x:v>
      </x:c>
      <x:c r="J135" s="13" t="str">
        <x:v>BE-ARCHIVE-01</x:v>
      </x:c>
      <x:c r="K135" s="13" t="str">
        <x:v>待完成</x:v>
      </x:c>
      <x:c r="L135" s="13" t="str">
        <x:v>09-07～09-09</x:v>
      </x:c>
      <x:c r="M135" s="13" t="str">
        <x:v>—</x:v>
      </x:c>
      <x:c r="N135" s="13" t="str">
        <x:v>job/variant/asset UUID；archive_id UUID；归档键=用户+选择集+尺寸</x:v>
      </x:c>
      <x:c r="O135" s="13" t="str">
        <x:v>asset available/expired；archive queued/processing/ready/failed/expired</x:v>
      </x:c>
      <x:c r="P135" s="13" t="str">
        <x:v>无选择、未就绪、尺寸缺失、URL过期、资产清理、归档失败</x:v>
      </x:c>
      <x:c r="Q135" s="13" t="str">
        <x:v>本人所有权校验；私有Bucket；短时签名URL</x:v>
      </x:c>
      <x:c r="R135" s="13" t="str">
        <x:v>相同归档24小时复用；作品30天；有效PNG进入个人数据导出</x:v>
      </x:c>
    </x:row>
    <x:row r="136" ht="68" customHeight="1">
      <x:c r="A136" s="13" t="str">
        <x:v>第 2 期</x:v>
      </x:c>
      <x:c r="B136" s="13" t="str">
        <x:v>3. 作品、预览与下载</x:v>
      </x:c>
      <x:c r="C136" s="13" t="str">
        <x:v>WORK-004</x:v>
      </x:c>
      <x:c r="D136" s="13" t="str">
        <x:v>选中结果ZIP</x:v>
      </x:c>
      <x:c r="E136" s="13" t="str">
        <x:v>BE-ARCHIVE-03</x:v>
      </x:c>
      <x:c r="F136" s="13" t="str">
        <x:v>后端</x:v>
      </x:c>
      <x:c r="G136" s="13" t="str">
        <x:v>实现POST/GET downloads身份与权限校验</x:v>
      </x:c>
      <x:c r="H136" s="13" t="str">
        <x:v>服务端鉴权和所有权检查</x:v>
      </x:c>
      <x:c r="I136" s="13" t="str">
        <x:v>未登录401；越权按规则403或404</x:v>
      </x:c>
      <x:c r="J136" s="13" t="str">
        <x:v>BE-ARCHIVE-01</x:v>
      </x:c>
      <x:c r="K136" s="13" t="str">
        <x:v>待完成</x:v>
      </x:c>
      <x:c r="L136" s="13" t="str">
        <x:v>09-07～09-09</x:v>
      </x:c>
      <x:c r="M136" s="13" t="str">
        <x:v>—</x:v>
      </x:c>
      <x:c r="N136" s="13" t="str">
        <x:v>job/variant/asset UUID；archive_id UUID；归档键=用户+选择集+尺寸</x:v>
      </x:c>
      <x:c r="O136" s="13" t="str">
        <x:v>asset available/expired；archive queued/processing/ready/failed/expired</x:v>
      </x:c>
      <x:c r="P136" s="13" t="str">
        <x:v>无选择、未就绪、尺寸缺失、URL过期、资产清理、归档失败</x:v>
      </x:c>
      <x:c r="Q136" s="13" t="str">
        <x:v>本人所有权校验；私有Bucket；短时签名URL</x:v>
      </x:c>
      <x:c r="R136" s="13" t="str">
        <x:v>相同归档24小时复用；作品30天；有效PNG进入个人数据导出</x:v>
      </x:c>
    </x:row>
    <x:row r="137" ht="68" customHeight="1">
      <x:c r="A137" s="13" t="str">
        <x:v>第 2 期</x:v>
      </x:c>
      <x:c r="B137" s="13" t="str">
        <x:v>3. 作品、预览与下载</x:v>
      </x:c>
      <x:c r="C137" s="13" t="str">
        <x:v>WORK-004</x:v>
      </x:c>
      <x:c r="D137" s="13" t="str">
        <x:v>选中结果ZIP</x:v>
      </x:c>
      <x:c r="E137" s="13" t="str">
        <x:v>BE-ARCHIVE-04</x:v>
      </x:c>
      <x:c r="F137" s="13" t="str">
        <x:v>后端</x:v>
      </x:c>
      <x:c r="G137" s="13" t="str">
        <x:v>校验variantIds非空并去重</x:v>
      </x:c>
      <x:c r="H137" s="13" t="str">
        <x:v>选择集Schema</x:v>
      </x:c>
      <x:c r="I137" s="13" t="str">
        <x:v>空选择返回NO_RESULTS_SELECTED</x:v>
      </x:c>
      <x:c r="J137" s="13" t="str">
        <x:v>—</x:v>
      </x:c>
      <x:c r="K137" s="13" t="str">
        <x:v>待完成</x:v>
      </x:c>
      <x:c r="L137" s="13" t="str">
        <x:v>09-07～09-09</x:v>
      </x:c>
      <x:c r="M137" s="13" t="str">
        <x:v>—</x:v>
      </x:c>
      <x:c r="N137" s="13" t="str">
        <x:v>job/variant/asset UUID；archive_id UUID；归档键=用户+选择集+尺寸</x:v>
      </x:c>
      <x:c r="O137" s="13" t="str">
        <x:v>asset available/expired；archive queued/processing/ready/failed/expired</x:v>
      </x:c>
      <x:c r="P137" s="13" t="str">
        <x:v>无选择、未就绪、尺寸缺失、URL过期、资产清理、归档失败</x:v>
      </x:c>
      <x:c r="Q137" s="13" t="str">
        <x:v>本人所有权校验；私有Bucket；短时签名URL</x:v>
      </x:c>
      <x:c r="R137" s="13" t="str">
        <x:v>相同归档24小时复用；作品30天；有效PNG进入个人数据导出</x:v>
      </x:c>
    </x:row>
    <x:row r="138" ht="68" customHeight="1">
      <x:c r="A138" s="13" t="str">
        <x:v>第 2 期</x:v>
      </x:c>
      <x:c r="B138" s="13" t="str">
        <x:v>3. 作品、预览与下载</x:v>
      </x:c>
      <x:c r="C138" s="13" t="str">
        <x:v>WORK-004</x:v>
      </x:c>
      <x:c r="D138" s="13" t="str">
        <x:v>选中结果ZIP</x:v>
      </x:c>
      <x:c r="E138" s="13" t="str">
        <x:v>BE-ARCHIVE-05</x:v>
      </x:c>
      <x:c r="F138" s="13" t="str">
        <x:v>后端</x:v>
      </x:c>
      <x:c r="G138" s="13" t="str">
        <x:v>校验所有variant属于本人</x:v>
      </x:c>
      <x:c r="H138" s="13" t="str">
        <x:v>批量所有权检查</x:v>
      </x:c>
      <x:c r="I138" s="13" t="str">
        <x:v>任一越权整请求失败</x:v>
      </x:c>
      <x:c r="J138" s="13" t="str">
        <x:v>—</x:v>
      </x:c>
      <x:c r="K138" s="13" t="str">
        <x:v>待完成</x:v>
      </x:c>
      <x:c r="L138" s="13" t="str">
        <x:v>09-07～09-09</x:v>
      </x:c>
      <x:c r="M138" s="13" t="str">
        <x:v>—</x:v>
      </x:c>
      <x:c r="N138" s="13" t="str">
        <x:v>job/variant/asset UUID；archive_id UUID；归档键=用户+选择集+尺寸</x:v>
      </x:c>
      <x:c r="O138" s="13" t="str">
        <x:v>asset available/expired；archive queued/processing/ready/failed/expired</x:v>
      </x:c>
      <x:c r="P138" s="13" t="str">
        <x:v>无选择、未就绪、尺寸缺失、URL过期、资产清理、归档失败</x:v>
      </x:c>
      <x:c r="Q138" s="13" t="str">
        <x:v>本人所有权校验；私有Bucket；短时签名URL</x:v>
      </x:c>
      <x:c r="R138" s="13" t="str">
        <x:v>相同归档24小时复用；作品30天；有效PNG进入个人数据导出</x:v>
      </x:c>
    </x:row>
    <x:row r="139" ht="68" customHeight="1">
      <x:c r="A139" s="13" t="str">
        <x:v>第 2 期</x:v>
      </x:c>
      <x:c r="B139" s="13" t="str">
        <x:v>3. 作品、预览与下载</x:v>
      </x:c>
      <x:c r="C139" s="13" t="str">
        <x:v>WORK-004</x:v>
      </x:c>
      <x:c r="D139" s="13" t="str">
        <x:v>选中结果ZIP</x:v>
      </x:c>
      <x:c r="E139" s="13" t="str">
        <x:v>BE-ARCHIVE-06</x:v>
      </x:c>
      <x:c r="F139" s="13" t="str">
        <x:v>后端</x:v>
      </x:c>
      <x:c r="G139" s="13" t="str">
        <x:v>校验请求尺寸可用</x:v>
      </x:c>
      <x:c r="H139" s="13" t="str">
        <x:v>asset size交集</x:v>
      </x:c>
      <x:c r="I139" s="13" t="str">
        <x:v>缺失尺寸明确报错</x:v>
      </x:c>
      <x:c r="J139" s="13" t="str">
        <x:v>—</x:v>
      </x:c>
      <x:c r="K139" s="13" t="str">
        <x:v>待完成</x:v>
      </x:c>
      <x:c r="L139" s="13" t="str">
        <x:v>09-07～09-09</x:v>
      </x:c>
      <x:c r="M139" s="13" t="str">
        <x:v>—</x:v>
      </x:c>
      <x:c r="N139" s="13" t="str">
        <x:v>job/variant/asset UUID；archive_id UUID；归档键=用户+选择集+尺寸</x:v>
      </x:c>
      <x:c r="O139" s="13" t="str">
        <x:v>asset available/expired；archive queued/processing/ready/failed/expired</x:v>
      </x:c>
      <x:c r="P139" s="13" t="str">
        <x:v>无选择、未就绪、尺寸缺失、URL过期、资产清理、归档失败</x:v>
      </x:c>
      <x:c r="Q139" s="13" t="str">
        <x:v>本人所有权校验；私有Bucket；短时签名URL</x:v>
      </x:c>
      <x:c r="R139" s="13" t="str">
        <x:v>相同归档24小时复用；作品30天；有效PNG进入个人数据导出</x:v>
      </x:c>
    </x:row>
    <x:row r="140" ht="68" customHeight="1">
      <x:c r="A140" s="13" t="str">
        <x:v>第 2 期</x:v>
      </x:c>
      <x:c r="B140" s="13" t="str">
        <x:v>3. 作品、预览与下载</x:v>
      </x:c>
      <x:c r="C140" s="13" t="str">
        <x:v>WORK-004</x:v>
      </x:c>
      <x:c r="D140" s="13" t="str">
        <x:v>选中结果ZIP</x:v>
      </x:c>
      <x:c r="E140" s="13" t="str">
        <x:v>BE-ARCHIVE-07</x:v>
      </x:c>
      <x:c r="F140" s="13" t="str">
        <x:v>后端</x:v>
      </x:c>
      <x:c r="G140" s="13" t="str">
        <x:v>计算稳定归档键</x:v>
      </x:c>
      <x:c r="H140" s="13" t="str">
        <x:v>user+排序后variant+size hash</x:v>
      </x:c>
      <x:c r="I140" s="13" t="str">
        <x:v>相同选择24小时复用</x:v>
      </x:c>
      <x:c r="J140" s="13" t="str">
        <x:v>—</x:v>
      </x:c>
      <x:c r="K140" s="13" t="str">
        <x:v>待完成</x:v>
      </x:c>
      <x:c r="L140" s="13" t="str">
        <x:v>09-07～09-09</x:v>
      </x:c>
      <x:c r="M140" s="13" t="str">
        <x:v>—</x:v>
      </x:c>
      <x:c r="N140" s="13" t="str">
        <x:v>job/variant/asset UUID；archive_id UUID；归档键=用户+选择集+尺寸</x:v>
      </x:c>
      <x:c r="O140" s="13" t="str">
        <x:v>asset available/expired；archive queued/processing/ready/failed/expired</x:v>
      </x:c>
      <x:c r="P140" s="13" t="str">
        <x:v>无选择、未就绪、尺寸缺失、URL过期、资产清理、归档失败</x:v>
      </x:c>
      <x:c r="Q140" s="13" t="str">
        <x:v>本人所有权校验；私有Bucket；短时签名URL</x:v>
      </x:c>
      <x:c r="R140" s="13" t="str">
        <x:v>相同归档24小时复用；作品30天；有效PNG进入个人数据导出</x:v>
      </x:c>
    </x:row>
    <x:row r="141" ht="68" customHeight="1">
      <x:c r="A141" s="13" t="str">
        <x:v>第 2 期</x:v>
      </x:c>
      <x:c r="B141" s="13" t="str">
        <x:v>3. 作品、预览与下载</x:v>
      </x:c>
      <x:c r="C141" s="13" t="str">
        <x:v>WORK-004</x:v>
      </x:c>
      <x:c r="D141" s="13" t="str">
        <x:v>选中结果ZIP</x:v>
      </x:c>
      <x:c r="E141" s="13" t="str">
        <x:v>BE-ARCHIVE-08</x:v>
      </x:c>
      <x:c r="F141" s="13" t="str">
        <x:v>后端</x:v>
      </x:c>
      <x:c r="G141" s="13" t="str">
        <x:v>创建异步archive任务</x:v>
      </x:c>
      <x:c r="H141" s="13" t="str">
        <x:v>archive UUID和queued状态</x:v>
      </x:c>
      <x:c r="I141" s="13" t="str">
        <x:v>同键并发只创建一条</x:v>
      </x:c>
      <x:c r="J141" s="13" t="str">
        <x:v>—</x:v>
      </x:c>
      <x:c r="K141" s="13" t="str">
        <x:v>待完成</x:v>
      </x:c>
      <x:c r="L141" s="13" t="str">
        <x:v>09-07～09-09</x:v>
      </x:c>
      <x:c r="M141" s="13" t="str">
        <x:v>—</x:v>
      </x:c>
      <x:c r="N141" s="13" t="str">
        <x:v>job/variant/asset UUID；archive_id UUID；归档键=用户+选择集+尺寸</x:v>
      </x:c>
      <x:c r="O141" s="13" t="str">
        <x:v>asset available/expired；archive queued/processing/ready/failed/expired</x:v>
      </x:c>
      <x:c r="P141" s="13" t="str">
        <x:v>无选择、未就绪、尺寸缺失、URL过期、资产清理、归档失败</x:v>
      </x:c>
      <x:c r="Q141" s="13" t="str">
        <x:v>本人所有权校验；私有Bucket；短时签名URL</x:v>
      </x:c>
      <x:c r="R141" s="13" t="str">
        <x:v>相同归档24小时复用；作品30天；有效PNG进入个人数据导出</x:v>
      </x:c>
    </x:row>
    <x:row r="142" ht="68" customHeight="1">
      <x:c r="A142" s="13" t="str">
        <x:v>第 2 期</x:v>
      </x:c>
      <x:c r="B142" s="13" t="str">
        <x:v>3. 作品、预览与下载</x:v>
      </x:c>
      <x:c r="C142" s="13" t="str">
        <x:v>WORK-004</x:v>
      </x:c>
      <x:c r="D142" s="13" t="str">
        <x:v>选中结果ZIP</x:v>
      </x:c>
      <x:c r="E142" s="13" t="str">
        <x:v>BE-ARCHIVE-09</x:v>
      </x:c>
      <x:c r="F142" s="13" t="str">
        <x:v>后端</x:v>
      </x:c>
      <x:c r="G142" s="13" t="str">
        <x:v>按主体目录写PNG</x:v>
      </x:c>
      <x:c r="H142" s="13" t="str">
        <x:v>slug/variant/size路径</x:v>
      </x:c>
      <x:c r="I142" s="13" t="str">
        <x:v>无路径穿越</x:v>
      </x:c>
      <x:c r="J142" s="13" t="str">
        <x:v>—</x:v>
      </x:c>
      <x:c r="K142" s="13" t="str">
        <x:v>待完成</x:v>
      </x:c>
      <x:c r="L142" s="13" t="str">
        <x:v>09-07～09-09</x:v>
      </x:c>
      <x:c r="M142" s="13" t="str">
        <x:v>—</x:v>
      </x:c>
      <x:c r="N142" s="13" t="str">
        <x:v>job/variant/asset UUID；archive_id UUID；归档键=用户+选择集+尺寸</x:v>
      </x:c>
      <x:c r="O142" s="13" t="str">
        <x:v>asset available/expired；archive queued/processing/ready/failed/expired</x:v>
      </x:c>
      <x:c r="P142" s="13" t="str">
        <x:v>无选择、未就绪、尺寸缺失、URL过期、资产清理、归档失败</x:v>
      </x:c>
      <x:c r="Q142" s="13" t="str">
        <x:v>本人所有权校验；私有Bucket；短时签名URL</x:v>
      </x:c>
      <x:c r="R142" s="13" t="str">
        <x:v>相同归档24小时复用；作品30天；有效PNG进入个人数据导出</x:v>
      </x:c>
    </x:row>
    <x:row r="143" ht="68" customHeight="1">
      <x:c r="A143" s="13" t="str">
        <x:v>第 2 期</x:v>
      </x:c>
      <x:c r="B143" s="13" t="str">
        <x:v>3. 作品、预览与下载</x:v>
      </x:c>
      <x:c r="C143" s="13" t="str">
        <x:v>WORK-004</x:v>
      </x:c>
      <x:c r="D143" s="13" t="str">
        <x:v>选中结果ZIP</x:v>
      </x:c>
      <x:c r="E143" s="13" t="str">
        <x:v>BE-ARCHIVE-10</x:v>
      </x:c>
      <x:c r="F143" s="13" t="str">
        <x:v>后端</x:v>
      </x:c>
      <x:c r="G143" s="13" t="str">
        <x:v>生成manifest.json</x:v>
      </x:c>
      <x:c r="H143" s="13" t="str">
        <x:v>设置、版本、方案、尺寸、时间</x:v>
      </x:c>
      <x:c r="I143" s="13" t="str">
        <x:v>不含完整Prompt或密钥</x:v>
      </x:c>
      <x:c r="J143" s="13" t="str">
        <x:v>—</x:v>
      </x:c>
      <x:c r="K143" s="13" t="str">
        <x:v>待完成</x:v>
      </x:c>
      <x:c r="L143" s="13" t="str">
        <x:v>09-07～09-09</x:v>
      </x:c>
      <x:c r="M143" s="13" t="str">
        <x:v>—</x:v>
      </x:c>
      <x:c r="N143" s="13" t="str">
        <x:v>job/variant/asset UUID；archive_id UUID；归档键=用户+选择集+尺寸</x:v>
      </x:c>
      <x:c r="O143" s="13" t="str">
        <x:v>asset available/expired；archive queued/processing/ready/failed/expired</x:v>
      </x:c>
      <x:c r="P143" s="13" t="str">
        <x:v>无选择、未就绪、尺寸缺失、URL过期、资产清理、归档失败</x:v>
      </x:c>
      <x:c r="Q143" s="13" t="str">
        <x:v>本人所有权校验；私有Bucket；短时签名URL</x:v>
      </x:c>
      <x:c r="R143" s="13" t="str">
        <x:v>相同归档24小时复用；作品30天；有效PNG进入个人数据导出</x:v>
      </x:c>
    </x:row>
    <x:row r="144" ht="68" customHeight="1">
      <x:c r="A144" s="13" t="str">
        <x:v>第 2 期</x:v>
      </x:c>
      <x:c r="B144" s="13" t="str">
        <x:v>3. 作品、预览与下载</x:v>
      </x:c>
      <x:c r="C144" s="13" t="str">
        <x:v>WORK-004</x:v>
      </x:c>
      <x:c r="D144" s="13" t="str">
        <x:v>选中结果ZIP</x:v>
      </x:c>
      <x:c r="E144" s="13" t="str">
        <x:v>BE-ARCHIVE-11</x:v>
      </x:c>
      <x:c r="F144" s="13" t="str">
        <x:v>后端</x:v>
      </x:c>
      <x:c r="G144" s="13" t="str">
        <x:v>保存私有ZIP并标记ready</x:v>
      </x:c>
      <x:c r="H144" s="13" t="str">
        <x:v>object path+expiresAt</x:v>
      </x:c>
      <x:c r="I144" s="13" t="str">
        <x:v>失败状态可重试</x:v>
      </x:c>
      <x:c r="J144" s="13" t="str">
        <x:v>—</x:v>
      </x:c>
      <x:c r="K144" s="13" t="str">
        <x:v>待完成</x:v>
      </x:c>
      <x:c r="L144" s="13" t="str">
        <x:v>09-07～09-09</x:v>
      </x:c>
      <x:c r="M144" s="13" t="str">
        <x:v>—</x:v>
      </x:c>
      <x:c r="N144" s="13" t="str">
        <x:v>job/variant/asset UUID；archive_id UUID；归档键=用户+选择集+尺寸</x:v>
      </x:c>
      <x:c r="O144" s="13" t="str">
        <x:v>asset available/expired；archive queued/processing/ready/failed/expired</x:v>
      </x:c>
      <x:c r="P144" s="13" t="str">
        <x:v>无选择、未就绪、尺寸缺失、URL过期、资产清理、归档失败</x:v>
      </x:c>
      <x:c r="Q144" s="13" t="str">
        <x:v>本人所有权校验；私有Bucket；短时签名URL</x:v>
      </x:c>
      <x:c r="R144" s="13" t="str">
        <x:v>相同归档24小时复用；作品30天；有效PNG进入个人数据导出</x:v>
      </x:c>
    </x:row>
    <x:row r="145" ht="68" customHeight="1">
      <x:c r="A145" s="13" t="str">
        <x:v>第 2 期</x:v>
      </x:c>
      <x:c r="B145" s="13" t="str">
        <x:v>3. 作品、预览与下载</x:v>
      </x:c>
      <x:c r="C145" s="13" t="str">
        <x:v>WORK-004</x:v>
      </x:c>
      <x:c r="D145" s="13" t="str">
        <x:v>选中结果ZIP</x:v>
      </x:c>
      <x:c r="E145" s="13" t="str">
        <x:v>BE-ARCHIVE-12</x:v>
      </x:c>
      <x:c r="F145" s="13" t="str">
        <x:v>后端</x:v>
      </x:c>
      <x:c r="G145" s="13" t="str">
        <x:v>返回短时ZIP URL</x:v>
      </x:c>
      <x:c r="H145" s="13" t="str">
        <x:v>ready状态签名</x:v>
      </x:c>
      <x:c r="I145" s="13" t="str">
        <x:v>24小时后归档和URL失效</x:v>
      </x:c>
      <x:c r="J145" s="13" t="str">
        <x:v>—</x:v>
      </x:c>
      <x:c r="K145" s="13" t="str">
        <x:v>待完成</x:v>
      </x:c>
      <x:c r="L145" s="13" t="str">
        <x:v>09-07～09-09</x:v>
      </x:c>
      <x:c r="M145" s="13" t="str">
        <x:v>—</x:v>
      </x:c>
      <x:c r="N145" s="13" t="str">
        <x:v>job/variant/asset UUID；archive_id UUID；归档键=用户+选择集+尺寸</x:v>
      </x:c>
      <x:c r="O145" s="13" t="str">
        <x:v>asset available/expired；archive queued/processing/ready/failed/expired</x:v>
      </x:c>
      <x:c r="P145" s="13" t="str">
        <x:v>无选择、未就绪、尺寸缺失、URL过期、资产清理、归档失败</x:v>
      </x:c>
      <x:c r="Q145" s="13" t="str">
        <x:v>本人所有权校验；私有Bucket；短时签名URL</x:v>
      </x:c>
      <x:c r="R145" s="13" t="str">
        <x:v>相同归档24小时复用；作品30天；有效PNG进入个人数据导出</x:v>
      </x:c>
    </x:row>
    <x:row r="146" ht="68" customHeight="1">
      <x:c r="A146" s="13" t="str">
        <x:v>第 2 期</x:v>
      </x:c>
      <x:c r="B146" s="13" t="str">
        <x:v>3. 作品、预览与下载</x:v>
      </x:c>
      <x:c r="C146" s="13" t="str">
        <x:v>WORK-004</x:v>
      </x:c>
      <x:c r="D146" s="13" t="str">
        <x:v>选中结果ZIP</x:v>
      </x:c>
      <x:c r="E146" s="13" t="str">
        <x:v>BE-ARCHIVE-13</x:v>
      </x:c>
      <x:c r="F146" s="13" t="str">
        <x:v>后端</x:v>
      </x:c>
      <x:c r="G146" s="13" t="str">
        <x:v>定义POST/GET downloads稳定错误码</x:v>
      </x:c>
      <x:c r="H146" s="13" t="str">
        <x:v>错误枚举和HTTP映射</x:v>
      </x:c>
      <x:c r="I146" s="13" t="str">
        <x:v>前端无需解析内部错误正文</x:v>
      </x:c>
      <x:c r="J146" s="13" t="str">
        <x:v>BE-ARCHIVE-02</x:v>
      </x:c>
      <x:c r="K146" s="13" t="str">
        <x:v>待完成</x:v>
      </x:c>
      <x:c r="L146" s="13" t="str">
        <x:v>09-07～09-09</x:v>
      </x:c>
      <x:c r="M146" s="13" t="str">
        <x:v>—</x:v>
      </x:c>
      <x:c r="N146" s="13" t="str">
        <x:v>job/variant/asset UUID；archive_id UUID；归档键=用户+选择集+尺寸</x:v>
      </x:c>
      <x:c r="O146" s="13" t="str">
        <x:v>asset available/expired；archive queued/processing/ready/failed/expired</x:v>
      </x:c>
      <x:c r="P146" s="13" t="str">
        <x:v>无选择、未就绪、尺寸缺失、URL过期、资产清理、归档失败</x:v>
      </x:c>
      <x:c r="Q146" s="13" t="str">
        <x:v>本人所有权校验；私有Bucket；短时签名URL</x:v>
      </x:c>
      <x:c r="R146" s="13" t="str">
        <x:v>相同归档24小时复用；作品30天；有效PNG进入个人数据导出</x:v>
      </x:c>
    </x:row>
    <x:row r="147" ht="68" customHeight="1">
      <x:c r="A147" s="13" t="str">
        <x:v>第 2 期</x:v>
      </x:c>
      <x:c r="B147" s="13" t="str">
        <x:v>3. 作品、预览与下载</x:v>
      </x:c>
      <x:c r="C147" s="13" t="str">
        <x:v>WORK-004</x:v>
      </x:c>
      <x:c r="D147" s="13" t="str">
        <x:v>选中结果ZIP</x:v>
      </x:c>
      <x:c r="E147" s="13" t="str">
        <x:v>BE-ARCHIVE-14</x:v>
      </x:c>
      <x:c r="F147" s="13" t="str">
        <x:v>后端</x:v>
      </x:c>
      <x:c r="G147" s="13" t="str">
        <x:v>编写POST/GET downloads单元与集成测试</x:v>
      </x:c>
      <x:c r="H147" s="13" t="str">
        <x:v>成功/失败/重复/越权测试</x:v>
      </x:c>
      <x:c r="I147" s="13" t="str">
        <x:v>测试可重复运行且数据库副作用可核对</x:v>
      </x:c>
      <x:c r="J147" s="13" t="str">
        <x:v>—</x:v>
      </x:c>
      <x:c r="K147" s="13" t="str">
        <x:v>待完成</x:v>
      </x:c>
      <x:c r="L147" s="13" t="str">
        <x:v>09-07～09-09</x:v>
      </x:c>
      <x:c r="M147" s="13" t="str">
        <x:v>—</x:v>
      </x:c>
      <x:c r="N147" s="13" t="str">
        <x:v>job/variant/asset UUID；archive_id UUID；归档键=用户+选择集+尺寸</x:v>
      </x:c>
      <x:c r="O147" s="13" t="str">
        <x:v>asset available/expired；archive queued/processing/ready/failed/expired</x:v>
      </x:c>
      <x:c r="P147" s="13" t="str">
        <x:v>无选择、未就绪、尺寸缺失、URL过期、资产清理、归档失败</x:v>
      </x:c>
      <x:c r="Q147" s="13" t="str">
        <x:v>本人所有权校验；私有Bucket；短时签名URL</x:v>
      </x:c>
      <x:c r="R147" s="13" t="str">
        <x:v>相同归档24小时复用；作品30天；有效PNG进入个人数据导出</x:v>
      </x:c>
    </x:row>
    <x:row r="148" ht="68" customHeight="1">
      <x:c r="A148" s="13" t="str">
        <x:v>第 2 期</x:v>
      </x:c>
      <x:c r="B148" s="13" t="str">
        <x:v>3. 作品、预览与下载</x:v>
      </x:c>
      <x:c r="C148" s="13" t="str">
        <x:v>WORK-004</x:v>
      </x:c>
      <x:c r="D148" s="13" t="str">
        <x:v>选中结果ZIP</x:v>
      </x:c>
      <x:c r="E148" s="13" t="str">
        <x:v>BE-ARCHIVE-15</x:v>
      </x:c>
      <x:c r="F148" s="13" t="str">
        <x:v>后端</x:v>
      </x:c>
      <x:c r="G148" s="13" t="str">
        <x:v>更新POST/GET downloads接口文档</x:v>
      </x:c>
      <x:c r="H148" s="13" t="str">
        <x:v>请求、响应、错误、鉴权和示例</x:v>
      </x:c>
      <x:c r="I148" s="13" t="str">
        <x:v>前端可仅依据文档完成联调</x:v>
      </x:c>
      <x:c r="J148" s="13" t="str">
        <x:v>—</x:v>
      </x:c>
      <x:c r="K148" s="13" t="str">
        <x:v>待完成</x:v>
      </x:c>
      <x:c r="L148" s="13" t="str">
        <x:v>09-07～09-09</x:v>
      </x:c>
      <x:c r="M148" s="13" t="str">
        <x:v>—</x:v>
      </x:c>
      <x:c r="N148" s="13" t="str">
        <x:v>job/variant/asset UUID；archive_id UUID；归档键=用户+选择集+尺寸</x:v>
      </x:c>
      <x:c r="O148" s="13" t="str">
        <x:v>asset available/expired；archive queued/processing/ready/failed/expired</x:v>
      </x:c>
      <x:c r="P148" s="13" t="str">
        <x:v>无选择、未就绪、尺寸缺失、URL过期、资产清理、归档失败</x:v>
      </x:c>
      <x:c r="Q148" s="13" t="str">
        <x:v>本人所有权校验；私有Bucket；短时签名URL</x:v>
      </x:c>
      <x:c r="R148" s="13" t="str">
        <x:v>相同归档24小时复用；作品30天；有效PNG进入个人数据导出</x:v>
      </x:c>
    </x:row>
    <x:row r="149" ht="68" customHeight="1">
      <x:c r="A149" s="13" t="str">
        <x:v>第 2 期</x:v>
      </x:c>
      <x:c r="B149" s="13" t="str">
        <x:v>2. 图标设计与生成</x:v>
      </x:c>
      <x:c r="C149" s="13" t="str">
        <x:v>BILL-002</x:v>
      </x:c>
      <x:c r="D149" s="13" t="str">
        <x:v>部分成功与点数返还</x:v>
      </x:c>
      <x:c r="E149" s="13" t="str">
        <x:v>BE-PARTIAL-01</x:v>
      </x:c>
      <x:c r="F149" s="13" t="str">
        <x:v>后端</x:v>
      </x:c>
      <x:c r="G149" s="13" t="str">
        <x:v>按主体判断交付完整性</x:v>
      </x:c>
      <x:c r="H149" s="13" t="str">
        <x:v>3个completed variant条件</x:v>
      </x:c>
      <x:c r="I149" s="13" t="str">
        <x:v>不足3个视为该主体失败</x:v>
      </x:c>
      <x:c r="J149" s="13" t="str">
        <x:v>—</x:v>
      </x:c>
      <x:c r="K149" s="13" t="str">
        <x:v>已完成</x:v>
      </x:c>
      <x:c r="L149" s="13" t="str">
        <x:v>09-03～09-05</x:v>
      </x:c>
      <x:c r="M149" s="13" t="str">
        <x:v>2026-08-20</x:v>
      </x:c>
      <x:c r="N149" s="13" t="str">
        <x:v>job/subject/variant/asset均为UUID；创建请求带idempotency_key；记录设置/Skill/模型版本</x:v>
      </x:c>
      <x:c r="O149" s="13" t="str">
        <x:v>job queued/processing/completed/partial/failed；variant queued/processing/completed/failed</x:v>
      </x:c>
      <x:c r="P149" s="13" t="str">
        <x:v>1–20主体、余额不足、内容拦截、超时、部分成功、刷新恢复</x:v>
      </x:c>
      <x:c r="Q149" s="13" t="str">
        <x:v>仅本人读任务；Worker服务端权限；模型密钥不下发</x:v>
      </x:c>
      <x:c r="R149" s="13" t="str">
        <x:v>建任务+扣点同事务；每用户1个活动任务；重投跳过完成variant；资产30天</x:v>
      </x:c>
    </x:row>
    <x:row r="150" ht="68" customHeight="1">
      <x:c r="A150" s="13" t="str">
        <x:v>第 2 期</x:v>
      </x:c>
      <x:c r="B150" s="13" t="str">
        <x:v>2. 图标设计与生成</x:v>
      </x:c>
      <x:c r="C150" s="13" t="str">
        <x:v>BILL-002</x:v>
      </x:c>
      <x:c r="D150" s="13" t="str">
        <x:v>部分成功与点数返还</x:v>
      </x:c>
      <x:c r="E150" s="13" t="str">
        <x:v>BE-PARTIAL-02</x:v>
      </x:c>
      <x:c r="F150" s="13" t="str">
        <x:v>后端</x:v>
      </x:c>
      <x:c r="G150" s="13" t="str">
        <x:v>标记subject partial/failed</x:v>
      </x:c>
      <x:c r="H150" s="13" t="str">
        <x:v>主体状态聚合</x:v>
      </x:c>
      <x:c r="I150" s="13" t="str">
        <x:v>与variant状态一致</x:v>
      </x:c>
      <x:c r="J150" s="13" t="str">
        <x:v>—</x:v>
      </x:c>
      <x:c r="K150" s="13" t="str">
        <x:v>已完成</x:v>
      </x:c>
      <x:c r="L150" s="13" t="str">
        <x:v>09-03～09-05</x:v>
      </x:c>
      <x:c r="M150" s="13" t="str">
        <x:v>2026-08-20</x:v>
      </x:c>
      <x:c r="N150" s="13" t="str">
        <x:v>job/subject/variant/asset均为UUID；创建请求带idempotency_key；记录设置/Skill/模型版本</x:v>
      </x:c>
      <x:c r="O150" s="13" t="str">
        <x:v>job queued/processing/completed/partial/failed；variant queued/processing/completed/failed</x:v>
      </x:c>
      <x:c r="P150" s="13" t="str">
        <x:v>1–20主体、余额不足、内容拦截、超时、部分成功、刷新恢复</x:v>
      </x:c>
      <x:c r="Q150" s="13" t="str">
        <x:v>仅本人读任务；Worker服务端权限；模型密钥不下发</x:v>
      </x:c>
      <x:c r="R150" s="13" t="str">
        <x:v>建任务+扣点同事务；每用户1个活动任务；重投跳过完成variant；资产30天</x:v>
      </x:c>
    </x:row>
    <x:row r="151" ht="68" customHeight="1">
      <x:c r="A151" s="13" t="str">
        <x:v>第 2 期</x:v>
      </x:c>
      <x:c r="B151" s="13" t="str">
        <x:v>2. 图标设计与生成</x:v>
      </x:c>
      <x:c r="C151" s="13" t="str">
        <x:v>BILL-002</x:v>
      </x:c>
      <x:c r="D151" s="13" t="str">
        <x:v>部分成功与点数返还</x:v>
      </x:c>
      <x:c r="E151" s="13" t="str">
        <x:v>BE-PARTIAL-03</x:v>
      </x:c>
      <x:c r="F151" s="13" t="str">
        <x:v>后端</x:v>
      </x:c>
      <x:c r="G151" s="13" t="str">
        <x:v>计算job partial状态</x:v>
      </x:c>
      <x:c r="H151" s="13" t="str">
        <x:v>主体状态聚合</x:v>
      </x:c>
      <x:c r="I151" s="13" t="str">
        <x:v>部分成功不误标completed</x:v>
      </x:c>
      <x:c r="J151" s="13" t="str">
        <x:v>—</x:v>
      </x:c>
      <x:c r="K151" s="13" t="str">
        <x:v>已完成</x:v>
      </x:c>
      <x:c r="L151" s="13" t="str">
        <x:v>09-03～09-05</x:v>
      </x:c>
      <x:c r="M151" s="13" t="str">
        <x:v>2026-08-20</x:v>
      </x:c>
      <x:c r="N151" s="13" t="str">
        <x:v>job/subject/variant/asset均为UUID；创建请求带idempotency_key；记录设置/Skill/模型版本</x:v>
      </x:c>
      <x:c r="O151" s="13" t="str">
        <x:v>job queued/processing/completed/partial/failed；variant queued/processing/completed/failed</x:v>
      </x:c>
      <x:c r="P151" s="13" t="str">
        <x:v>1–20主体、余额不足、内容拦截、超时、部分成功、刷新恢复</x:v>
      </x:c>
      <x:c r="Q151" s="13" t="str">
        <x:v>仅本人读任务；Worker服务端权限；模型密钥不下发</x:v>
      </x:c>
      <x:c r="R151" s="13" t="str">
        <x:v>建任务+扣点同事务；每用户1个活动任务；重投跳过完成variant；资产30天</x:v>
      </x:c>
    </x:row>
    <x:row r="152" ht="68" customHeight="1">
      <x:c r="A152" s="13" t="str">
        <x:v>第 2 期</x:v>
      </x:c>
      <x:c r="B152" s="13" t="str">
        <x:v>2. 图标设计与生成</x:v>
      </x:c>
      <x:c r="C152" s="13" t="str">
        <x:v>BILL-002</x:v>
      </x:c>
      <x:c r="D152" s="13" t="str">
        <x:v>部分成功与点数返还</x:v>
      </x:c>
      <x:c r="E152" s="13" t="str">
        <x:v>BE-PARTIAL-04</x:v>
      </x:c>
      <x:c r="F152" s="13" t="str">
        <x:v>后端</x:v>
      </x:c>
      <x:c r="G152" s="13" t="str">
        <x:v>生成主体返还业务键</x:v>
      </x:c>
      <x:c r="H152" s="13" t="str">
        <x:v>subject-refund:{subjectId}</x:v>
      </x:c>
      <x:c r="I152" s="13" t="str">
        <x:v>全局唯一</x:v>
      </x:c>
      <x:c r="J152" s="13" t="str">
        <x:v>—</x:v>
      </x:c>
      <x:c r="K152" s="13" t="str">
        <x:v>已完成</x:v>
      </x:c>
      <x:c r="L152" s="13" t="str">
        <x:v>09-03～09-05</x:v>
      </x:c>
      <x:c r="M152" s="13" t="str">
        <x:v>2026-08-20</x:v>
      </x:c>
      <x:c r="N152" s="13" t="str">
        <x:v>job/subject/variant/asset均为UUID；创建请求带idempotency_key；记录设置/Skill/模型版本</x:v>
      </x:c>
      <x:c r="O152" s="13" t="str">
        <x:v>job queued/processing/completed/partial/failed；variant queued/processing/completed/failed</x:v>
      </x:c>
      <x:c r="P152" s="13" t="str">
        <x:v>1–20主体、余额不足、内容拦截、超时、部分成功、刷新恢复</x:v>
      </x:c>
      <x:c r="Q152" s="13" t="str">
        <x:v>仅本人读任务；Worker服务端权限；模型密钥不下发</x:v>
      </x:c>
      <x:c r="R152" s="13" t="str">
        <x:v>建任务+扣点同事务；每用户1个活动任务；重投跳过完成variant；资产30天</x:v>
      </x:c>
    </x:row>
    <x:row r="153" ht="68" customHeight="1">
      <x:c r="A153" s="13" t="str">
        <x:v>第 2 期</x:v>
      </x:c>
      <x:c r="B153" s="13" t="str">
        <x:v>2. 图标设计与生成</x:v>
      </x:c>
      <x:c r="C153" s="13" t="str">
        <x:v>BILL-002</x:v>
      </x:c>
      <x:c r="D153" s="13" t="str">
        <x:v>部分成功与点数返还</x:v>
      </x:c>
      <x:c r="E153" s="13" t="str">
        <x:v>BE-PARTIAL-05</x:v>
      </x:c>
      <x:c r="F153" s="13" t="str">
        <x:v>后端</x:v>
      </x:c>
      <x:c r="G153" s="13" t="str">
        <x:v>返还失败主体1点</x:v>
      </x:c>
      <x:c r="H153" s="13" t="str">
        <x:v>余额+账本同事务</x:v>
      </x:c>
      <x:c r="I153" s="13" t="str">
        <x:v>重复执行不重复返还</x:v>
      </x:c>
      <x:c r="J153" s="13" t="str">
        <x:v>—</x:v>
      </x:c>
      <x:c r="K153" s="13" t="str">
        <x:v>已完成</x:v>
      </x:c>
      <x:c r="L153" s="13" t="str">
        <x:v>09-03～09-05</x:v>
      </x:c>
      <x:c r="M153" s="13" t="str">
        <x:v>2026-08-20</x:v>
      </x:c>
      <x:c r="N153" s="13" t="str">
        <x:v>job/subject/variant/asset均为UUID；创建请求带idempotency_key；记录设置/Skill/模型版本</x:v>
      </x:c>
      <x:c r="O153" s="13" t="str">
        <x:v>job queued/processing/completed/partial/failed；variant queued/processing/completed/failed</x:v>
      </x:c>
      <x:c r="P153" s="13" t="str">
        <x:v>1–20主体、余额不足、内容拦截、超时、部分成功、刷新恢复</x:v>
      </x:c>
      <x:c r="Q153" s="13" t="str">
        <x:v>仅本人读任务；Worker服务端权限；模型密钥不下发</x:v>
      </x:c>
      <x:c r="R153" s="13" t="str">
        <x:v>建任务+扣点同事务；每用户1个活动任务；重投跳过完成variant；资产30天</x:v>
      </x:c>
    </x:row>
    <x:row r="154" ht="68" customHeight="1">
      <x:c r="A154" s="13" t="str">
        <x:v>第 2 期</x:v>
      </x:c>
      <x:c r="B154" s="13" t="str">
        <x:v>2. 图标设计与生成</x:v>
      </x:c>
      <x:c r="C154" s="13" t="str">
        <x:v>BILL-002</x:v>
      </x:c>
      <x:c r="D154" s="13" t="str">
        <x:v>部分成功与点数返还</x:v>
      </x:c>
      <x:c r="E154" s="13" t="str">
        <x:v>BE-PARTIAL-06</x:v>
      </x:c>
      <x:c r="F154" s="13" t="str">
        <x:v>后端</x:v>
      </x:c>
      <x:c r="G154" s="13" t="str">
        <x:v>保留已成功结果</x:v>
      </x:c>
      <x:c r="H154" s="13" t="str">
        <x:v>失败主体已有variant可下载</x:v>
      </x:c>
      <x:c r="I154" s="13" t="str">
        <x:v>返还不删除可用资产</x:v>
      </x:c>
      <x:c r="J154" s="13" t="str">
        <x:v>—</x:v>
      </x:c>
      <x:c r="K154" s="13" t="str">
        <x:v>已完成</x:v>
      </x:c>
      <x:c r="L154" s="13" t="str">
        <x:v>09-03～09-05</x:v>
      </x:c>
      <x:c r="M154" s="13" t="str">
        <x:v>2026-08-20</x:v>
      </x:c>
      <x:c r="N154" s="13" t="str">
        <x:v>job/subject/variant/asset均为UUID；创建请求带idempotency_key；记录设置/Skill/模型版本</x:v>
      </x:c>
      <x:c r="O154" s="13" t="str">
        <x:v>job queued/processing/completed/partial/failed；variant queued/processing/completed/failed</x:v>
      </x:c>
      <x:c r="P154" s="13" t="str">
        <x:v>1–20主体、余额不足、内容拦截、超时、部分成功、刷新恢复</x:v>
      </x:c>
      <x:c r="Q154" s="13" t="str">
        <x:v>仅本人读任务；Worker服务端权限；模型密钥不下发</x:v>
      </x:c>
      <x:c r="R154" s="13" t="str">
        <x:v>建任务+扣点同事务；每用户1个活动任务；重投跳过完成variant；资产30天</x:v>
      </x:c>
    </x:row>
    <x:row r="155" ht="68" customHeight="1">
      <x:c r="A155" s="13" t="str">
        <x:v>第 2 期</x:v>
      </x:c>
      <x:c r="B155" s="13" t="str">
        <x:v>2. 图标设计与生成</x:v>
      </x:c>
      <x:c r="C155" s="13" t="str">
        <x:v>BILL-002</x:v>
      </x:c>
      <x:c r="D155" s="13" t="str">
        <x:v>部分成功与点数返还</x:v>
      </x:c>
      <x:c r="E155" s="13" t="str">
        <x:v>BE-PARTIAL-07</x:v>
      </x:c>
      <x:c r="F155" s="13" t="str">
        <x:v>后端</x:v>
      </x:c>
      <x:c r="G155" s="13" t="str">
        <x:v>系统自动重试不扣点</x:v>
      </x:c>
      <x:c r="H155" s="13" t="str">
        <x:v>attempt计数和错误分类</x:v>
      </x:c>
      <x:c r="I155" s="13" t="str">
        <x:v>重试不新增debit账本</x:v>
      </x:c>
      <x:c r="J155" s="13" t="str">
        <x:v>—</x:v>
      </x:c>
      <x:c r="K155" s="13" t="str">
        <x:v>已完成</x:v>
      </x:c>
      <x:c r="L155" s="13" t="str">
        <x:v>09-03～09-05</x:v>
      </x:c>
      <x:c r="M155" s="13" t="str">
        <x:v>2026-08-20</x:v>
      </x:c>
      <x:c r="N155" s="13" t="str">
        <x:v>job/subject/variant/asset均为UUID；创建请求带idempotency_key；记录设置/Skill/模型版本</x:v>
      </x:c>
      <x:c r="O155" s="13" t="str">
        <x:v>job queued/processing/completed/partial/failed；variant queued/processing/completed/failed</x:v>
      </x:c>
      <x:c r="P155" s="13" t="str">
        <x:v>1–20主体、余额不足、内容拦截、超时、部分成功、刷新恢复</x:v>
      </x:c>
      <x:c r="Q155" s="13" t="str">
        <x:v>仅本人读任务；Worker服务端权限；模型密钥不下发</x:v>
      </x:c>
      <x:c r="R155" s="13" t="str">
        <x:v>建任务+扣点同事务；每用户1个活动任务；重投跳过完成variant；资产30天</x:v>
      </x:c>
    </x:row>
    <x:row r="156" ht="68" customHeight="1">
      <x:c r="A156" s="13" t="str">
        <x:v>第 2 期</x:v>
      </x:c>
      <x:c r="B156" s="13" t="str">
        <x:v>3. 作品、预览与下载</x:v>
      </x:c>
      <x:c r="C156" s="13" t="str">
        <x:v>WORK-005</x:v>
      </x:c>
      <x:c r="D156" s="13" t="str">
        <x:v>30天资产生命周期</x:v>
      </x:c>
      <x:c r="E156" s="13" t="str">
        <x:v>BE-RETENTION-01</x:v>
      </x:c>
      <x:c r="F156" s="13" t="str">
        <x:v>后端</x:v>
      </x:c>
      <x:c r="G156" s="13" t="str">
        <x:v>计算作品expiresAt</x:v>
      </x:c>
      <x:c r="H156" s="13" t="str">
        <x:v>completedAt+30天</x:v>
      </x:c>
      <x:c r="I156" s="13" t="str">
        <x:v>时区统一UTC</x:v>
      </x:c>
      <x:c r="J156" s="13" t="str">
        <x:v>—</x:v>
      </x:c>
      <x:c r="K156" s="13" t="str">
        <x:v>待完成</x:v>
      </x:c>
      <x:c r="L156" s="13" t="str">
        <x:v>09-09～09-10</x:v>
      </x:c>
      <x:c r="M156" s="13" t="str">
        <x:v>—</x:v>
      </x:c>
      <x:c r="N156" s="13" t="str">
        <x:v>job/variant/asset UUID；archive_id UUID；归档键=用户+选择集+尺寸</x:v>
      </x:c>
      <x:c r="O156" s="13" t="str">
        <x:v>asset available/expired；archive queued/processing/ready/failed/expired</x:v>
      </x:c>
      <x:c r="P156" s="13" t="str">
        <x:v>无选择、未就绪、尺寸缺失、URL过期、资产清理、归档失败</x:v>
      </x:c>
      <x:c r="Q156" s="13" t="str">
        <x:v>本人所有权校验；私有Bucket；短时签名URL</x:v>
      </x:c>
      <x:c r="R156" s="13" t="str">
        <x:v>相同归档24小时复用；作品30天；有效PNG进入个人数据导出</x:v>
      </x:c>
    </x:row>
    <x:row r="157" ht="68" customHeight="1">
      <x:c r="A157" s="13" t="str">
        <x:v>第 2 期</x:v>
      </x:c>
      <x:c r="B157" s="13" t="str">
        <x:v>3. 作品、预览与下载</x:v>
      </x:c>
      <x:c r="C157" s="13" t="str">
        <x:v>WORK-005</x:v>
      </x:c>
      <x:c r="D157" s="13" t="str">
        <x:v>30天资产生命周期</x:v>
      </x:c>
      <x:c r="E157" s="13" t="str">
        <x:v>BE-RETENTION-02</x:v>
      </x:c>
      <x:c r="F157" s="13" t="str">
        <x:v>后端</x:v>
      </x:c>
      <x:c r="G157" s="13" t="str">
        <x:v>扫描到期资产</x:v>
      </x:c>
      <x:c r="H157" s="13" t="str">
        <x:v>分页定时任务</x:v>
      </x:c>
      <x:c r="I157" s="13" t="str">
        <x:v>可重入且不会全表锁死</x:v>
      </x:c>
      <x:c r="J157" s="13" t="str">
        <x:v>—</x:v>
      </x:c>
      <x:c r="K157" s="13" t="str">
        <x:v>待完成</x:v>
      </x:c>
      <x:c r="L157" s="13" t="str">
        <x:v>09-09～09-10</x:v>
      </x:c>
      <x:c r="M157" s="13" t="str">
        <x:v>—</x:v>
      </x:c>
      <x:c r="N157" s="13" t="str">
        <x:v>job/variant/asset UUID；archive_id UUID；归档键=用户+选择集+尺寸</x:v>
      </x:c>
      <x:c r="O157" s="13" t="str">
        <x:v>asset available/expired；archive queued/processing/ready/failed/expired</x:v>
      </x:c>
      <x:c r="P157" s="13" t="str">
        <x:v>无选择、未就绪、尺寸缺失、URL过期、资产清理、归档失败</x:v>
      </x:c>
      <x:c r="Q157" s="13" t="str">
        <x:v>本人所有权校验；私有Bucket；短时签名URL</x:v>
      </x:c>
      <x:c r="R157" s="13" t="str">
        <x:v>相同归档24小时复用；作品30天；有效PNG进入个人数据导出</x:v>
      </x:c>
    </x:row>
    <x:row r="158" ht="68" customHeight="1">
      <x:c r="A158" s="13" t="str">
        <x:v>第 2 期</x:v>
      </x:c>
      <x:c r="B158" s="13" t="str">
        <x:v>3. 作品、预览与下载</x:v>
      </x:c>
      <x:c r="C158" s="13" t="str">
        <x:v>WORK-005</x:v>
      </x:c>
      <x:c r="D158" s="13" t="str">
        <x:v>30天资产生命周期</x:v>
      </x:c>
      <x:c r="E158" s="13" t="str">
        <x:v>BE-RETENTION-03</x:v>
      </x:c>
      <x:c r="F158" s="13" t="str">
        <x:v>后端</x:v>
      </x:c>
      <x:c r="G158" s="13" t="str">
        <x:v>删除母版和派生PNG</x:v>
      </x:c>
      <x:c r="H158" s="13" t="str">
        <x:v>对象存储批量删除</x:v>
      </x:c>
      <x:c r="I158" s="13" t="str">
        <x:v>失败记录并重试</x:v>
      </x:c>
      <x:c r="J158" s="13" t="str">
        <x:v>—</x:v>
      </x:c>
      <x:c r="K158" s="13" t="str">
        <x:v>待完成</x:v>
      </x:c>
      <x:c r="L158" s="13" t="str">
        <x:v>09-09～09-10</x:v>
      </x:c>
      <x:c r="M158" s="13" t="str">
        <x:v>—</x:v>
      </x:c>
      <x:c r="N158" s="13" t="str">
        <x:v>job/variant/asset UUID；archive_id UUID；归档键=用户+选择集+尺寸</x:v>
      </x:c>
      <x:c r="O158" s="13" t="str">
        <x:v>asset available/expired；archive queued/processing/ready/failed/expired</x:v>
      </x:c>
      <x:c r="P158" s="13" t="str">
        <x:v>无选择、未就绪、尺寸缺失、URL过期、资产清理、归档失败</x:v>
      </x:c>
      <x:c r="Q158" s="13" t="str">
        <x:v>本人所有权校验；私有Bucket；短时签名URL</x:v>
      </x:c>
      <x:c r="R158" s="13" t="str">
        <x:v>相同归档24小时复用；作品30天；有效PNG进入个人数据导出</x:v>
      </x:c>
    </x:row>
    <x:row r="159" ht="68" customHeight="1">
      <x:c r="A159" s="13" t="str">
        <x:v>第 2 期</x:v>
      </x:c>
      <x:c r="B159" s="13" t="str">
        <x:v>3. 作品、预览与下载</x:v>
      </x:c>
      <x:c r="C159" s="13" t="str">
        <x:v>WORK-005</x:v>
      </x:c>
      <x:c r="D159" s="13" t="str">
        <x:v>30天资产生命周期</x:v>
      </x:c>
      <x:c r="E159" s="13" t="str">
        <x:v>BE-RETENTION-04</x:v>
      </x:c>
      <x:c r="F159" s="13" t="str">
        <x:v>后端</x:v>
      </x:c>
      <x:c r="G159" s="13" t="str">
        <x:v>删除预览和临时ZIP</x:v>
      </x:c>
      <x:c r="H159" s="13" t="str">
        <x:v>关联对象清理</x:v>
      </x:c>
      <x:c r="I159" s="13" t="str">
        <x:v>不影响未到期其他任务</x:v>
      </x:c>
      <x:c r="J159" s="13" t="str">
        <x:v>—</x:v>
      </x:c>
      <x:c r="K159" s="13" t="str">
        <x:v>待完成</x:v>
      </x:c>
      <x:c r="L159" s="13" t="str">
        <x:v>09-09～09-10</x:v>
      </x:c>
      <x:c r="M159" s="13" t="str">
        <x:v>—</x:v>
      </x:c>
      <x:c r="N159" s="13" t="str">
        <x:v>job/variant/asset UUID；archive_id UUID；归档键=用户+选择集+尺寸</x:v>
      </x:c>
      <x:c r="O159" s="13" t="str">
        <x:v>asset available/expired；archive queued/processing/ready/failed/expired</x:v>
      </x:c>
      <x:c r="P159" s="13" t="str">
        <x:v>无选择、未就绪、尺寸缺失、URL过期、资产清理、归档失败</x:v>
      </x:c>
      <x:c r="Q159" s="13" t="str">
        <x:v>本人所有权校验；私有Bucket；短时签名URL</x:v>
      </x:c>
      <x:c r="R159" s="13" t="str">
        <x:v>相同归档24小时复用；作品30天；有效PNG进入个人数据导出</x:v>
      </x:c>
    </x:row>
    <x:row r="160" ht="68" customHeight="1">
      <x:c r="A160" s="13" t="str">
        <x:v>第 2 期</x:v>
      </x:c>
      <x:c r="B160" s="13" t="str">
        <x:v>3. 作品、预览与下载</x:v>
      </x:c>
      <x:c r="C160" s="13" t="str">
        <x:v>WORK-005</x:v>
      </x:c>
      <x:c r="D160" s="13" t="str">
        <x:v>30天资产生命周期</x:v>
      </x:c>
      <x:c r="E160" s="13" t="str">
        <x:v>BE-RETENTION-05</x:v>
      </x:c>
      <x:c r="F160" s="13" t="str">
        <x:v>后端</x:v>
      </x:c>
      <x:c r="G160" s="13" t="str">
        <x:v>更新资产expired状态</x:v>
      </x:c>
      <x:c r="H160" s="13" t="str">
        <x:v>数据库状态和时间</x:v>
      </x:c>
      <x:c r="I160" s="13" t="str">
        <x:v>下载API立即拒绝</x:v>
      </x:c>
      <x:c r="J160" s="13" t="str">
        <x:v>—</x:v>
      </x:c>
      <x:c r="K160" s="13" t="str">
        <x:v>待完成</x:v>
      </x:c>
      <x:c r="L160" s="13" t="str">
        <x:v>09-09～09-10</x:v>
      </x:c>
      <x:c r="M160" s="13" t="str">
        <x:v>—</x:v>
      </x:c>
      <x:c r="N160" s="13" t="str">
        <x:v>job/variant/asset UUID；archive_id UUID；归档键=用户+选择集+尺寸</x:v>
      </x:c>
      <x:c r="O160" s="13" t="str">
        <x:v>asset available/expired；archive queued/processing/ready/failed/expired</x:v>
      </x:c>
      <x:c r="P160" s="13" t="str">
        <x:v>无选择、未就绪、尺寸缺失、URL过期、资产清理、归档失败</x:v>
      </x:c>
      <x:c r="Q160" s="13" t="str">
        <x:v>本人所有权校验；私有Bucket；短时签名URL</x:v>
      </x:c>
      <x:c r="R160" s="13" t="str">
        <x:v>相同归档24小时复用；作品30天；有效PNG进入个人数据导出</x:v>
      </x:c>
    </x:row>
    <x:row r="161" ht="68" customHeight="1">
      <x:c r="A161" s="13" t="str">
        <x:v>第 2 期</x:v>
      </x:c>
      <x:c r="B161" s="13" t="str">
        <x:v>3. 作品、预览与下载</x:v>
      </x:c>
      <x:c r="C161" s="13" t="str">
        <x:v>WORK-005</x:v>
      </x:c>
      <x:c r="D161" s="13" t="str">
        <x:v>30天资产生命周期</x:v>
      </x:c>
      <x:c r="E161" s="13" t="str">
        <x:v>BE-RETENTION-06</x:v>
      </x:c>
      <x:c r="F161" s="13" t="str">
        <x:v>后端</x:v>
      </x:c>
      <x:c r="G161" s="13" t="str">
        <x:v>保留脱敏财务引用</x:v>
      </x:c>
      <x:c r="H161" s="13" t="str">
        <x:v>job/order/ledger关联策略</x:v>
      </x:c>
      <x:c r="I161" s="13" t="str">
        <x:v>不保留已删除图片路径中的敏感信息</x:v>
      </x:c>
      <x:c r="J161" s="13" t="str">
        <x:v>—</x:v>
      </x:c>
      <x:c r="K161" s="13" t="str">
        <x:v>待完成</x:v>
      </x:c>
      <x:c r="L161" s="13" t="str">
        <x:v>09-09～09-10</x:v>
      </x:c>
      <x:c r="M161" s="13" t="str">
        <x:v>—</x:v>
      </x:c>
      <x:c r="N161" s="13" t="str">
        <x:v>job/variant/asset UUID；archive_id UUID；归档键=用户+选择集+尺寸</x:v>
      </x:c>
      <x:c r="O161" s="13" t="str">
        <x:v>asset available/expired；archive queued/processing/ready/failed/expired</x:v>
      </x:c>
      <x:c r="P161" s="13" t="str">
        <x:v>无选择、未就绪、尺寸缺失、URL过期、资产清理、归档失败</x:v>
      </x:c>
      <x:c r="Q161" s="13" t="str">
        <x:v>本人所有权校验；私有Bucket；短时签名URL</x:v>
      </x:c>
      <x:c r="R161" s="13" t="str">
        <x:v>相同归档24小时复用；作品30天；有效PNG进入个人数据导出</x:v>
      </x:c>
    </x:row>
    <x:row r="162" ht="68" customHeight="1">
      <x:c r="A162" s="13" t="str">
        <x:v>第 3 期</x:v>
      </x:c>
      <x:c r="B162" s="13" t="str">
        <x:v>4. 点数与商业化</x:v>
      </x:c>
      <x:c r="C162" s="13" t="str">
        <x:v>BILL-001</x:v>
      </x:c>
      <x:c r="D162" s="13" t="str">
        <x:v>版本化点数包</x:v>
      </x:c>
      <x:c r="E162" s="13" t="str">
        <x:v>BE-PACKAGES-01</x:v>
      </x:c>
      <x:c r="F162" s="13" t="str">
        <x:v>后端</x:v>
      </x:c>
      <x:c r="G162" s="13" t="str">
        <x:v>定义GET /api/billing/packages请求响应契约</x:v>
      </x:c>
      <x:c r="H162" s="13" t="str">
        <x:v>共享Schema、类型和示例</x:v>
      </x:c>
      <x:c r="I162" s="13" t="str">
        <x:v>合法与非法样例可被自动校验</x:v>
      </x:c>
      <x:c r="J162" s="13" t="str">
        <x:v>—</x:v>
      </x:c>
      <x:c r="K162" s="13" t="str">
        <x:v>待完成</x:v>
      </x:c>
      <x:c r="L162" s="13" t="str">
        <x:v>09-14～09-15</x:v>
      </x:c>
      <x:c r="M162" s="13" t="str">
        <x:v>—</x:v>
      </x:c>
      <x:c r="N162" s="13" t="str">
        <x:v>order UUID+后端业务订单号；ledger UUID；Stripe session/payment/event ID；价格版本</x:v>
      </x:c>
      <x:c r="O162" s="13" t="str">
        <x:v>order pending/paid/canceled/expired/failed/refunded；账本不可变</x:v>
      </x:c>
      <x:c r="P162" s="13" t="str">
        <x:v>套餐改价、重复点击、Checkout失败、Webhook重放/乱序/伪造、退款争议</x:v>
      </x:c>
      <x:c r="Q162" s="13" t="str">
        <x:v>用户只读本人订单/账本；仅验签Webhook入账；人工调点需授权</x:v>
      </x:c>
      <x:c r="R162" s="13" t="str">
        <x:v>下单键防重复；Event ID去重；订单行锁原子入账；订单/账本进入导出</x:v>
      </x:c>
    </x:row>
    <x:row r="163" ht="68" customHeight="1">
      <x:c r="A163" s="13" t="str">
        <x:v>第 3 期</x:v>
      </x:c>
      <x:c r="B163" s="13" t="str">
        <x:v>4. 点数与商业化</x:v>
      </x:c>
      <x:c r="C163" s="13" t="str">
        <x:v>BILL-001</x:v>
      </x:c>
      <x:c r="D163" s="13" t="str">
        <x:v>版本化点数包</x:v>
      </x:c>
      <x:c r="E163" s="13" t="str">
        <x:v>BE-PACKAGES-02</x:v>
      </x:c>
      <x:c r="F163" s="13" t="str">
        <x:v>后端</x:v>
      </x:c>
      <x:c r="G163" s="13" t="str">
        <x:v>实现GET /api/billing/packages输入校验</x:v>
      </x:c>
      <x:c r="H163" s="13" t="str">
        <x:v>边界校验与字段规范化</x:v>
      </x:c>
      <x:c r="I163" s="13" t="str">
        <x:v>非法输入在副作用前返回稳定400错误</x:v>
      </x:c>
      <x:c r="J163" s="13" t="str">
        <x:v>BE-PACKAGES-01</x:v>
      </x:c>
      <x:c r="K163" s="13" t="str">
        <x:v>待完成</x:v>
      </x:c>
      <x:c r="L163" s="13" t="str">
        <x:v>09-14～09-15</x:v>
      </x:c>
      <x:c r="M163" s="13" t="str">
        <x:v>—</x:v>
      </x:c>
      <x:c r="N163" s="13" t="str">
        <x:v>order UUID+后端业务订单号；ledger UUID；Stripe session/payment/event ID；价格版本</x:v>
      </x:c>
      <x:c r="O163" s="13" t="str">
        <x:v>order pending/paid/canceled/expired/failed/refunded；账本不可变</x:v>
      </x:c>
      <x:c r="P163" s="13" t="str">
        <x:v>套餐改价、重复点击、Checkout失败、Webhook重放/乱序/伪造、退款争议</x:v>
      </x:c>
      <x:c r="Q163" s="13" t="str">
        <x:v>用户只读本人订单/账本；仅验签Webhook入账；人工调点需授权</x:v>
      </x:c>
      <x:c r="R163" s="13" t="str">
        <x:v>下单键防重复；Event ID去重；订单行锁原子入账；订单/账本进入导出</x:v>
      </x:c>
    </x:row>
    <x:row r="164" ht="68" customHeight="1">
      <x:c r="A164" s="13" t="str">
        <x:v>第 3 期</x:v>
      </x:c>
      <x:c r="B164" s="13" t="str">
        <x:v>4. 点数与商业化</x:v>
      </x:c>
      <x:c r="C164" s="13" t="str">
        <x:v>BILL-001</x:v>
      </x:c>
      <x:c r="D164" s="13" t="str">
        <x:v>版本化点数包</x:v>
      </x:c>
      <x:c r="E164" s="13" t="str">
        <x:v>BE-PACKAGES-03</x:v>
      </x:c>
      <x:c r="F164" s="13" t="str">
        <x:v>后端</x:v>
      </x:c>
      <x:c r="G164" s="13" t="str">
        <x:v>实现GET /api/billing/packages身份与权限校验</x:v>
      </x:c>
      <x:c r="H164" s="13" t="str">
        <x:v>服务端鉴权和所有权检查</x:v>
      </x:c>
      <x:c r="I164" s="13" t="str">
        <x:v>未登录401；越权按规则403或404</x:v>
      </x:c>
      <x:c r="J164" s="13" t="str">
        <x:v>BE-PACKAGES-01</x:v>
      </x:c>
      <x:c r="K164" s="13" t="str">
        <x:v>待完成</x:v>
      </x:c>
      <x:c r="L164" s="13" t="str">
        <x:v>09-14～09-15</x:v>
      </x:c>
      <x:c r="M164" s="13" t="str">
        <x:v>—</x:v>
      </x:c>
      <x:c r="N164" s="13" t="str">
        <x:v>order UUID+后端业务订单号；ledger UUID；Stripe session/payment/event ID；价格版本</x:v>
      </x:c>
      <x:c r="O164" s="13" t="str">
        <x:v>order pending/paid/canceled/expired/failed/refunded；账本不可变</x:v>
      </x:c>
      <x:c r="P164" s="13" t="str">
        <x:v>套餐改价、重复点击、Checkout失败、Webhook重放/乱序/伪造、退款争议</x:v>
      </x:c>
      <x:c r="Q164" s="13" t="str">
        <x:v>用户只读本人订单/账本；仅验签Webhook入账；人工调点需授权</x:v>
      </x:c>
      <x:c r="R164" s="13" t="str">
        <x:v>下单键防重复；Event ID去重；订单行锁原子入账；订单/账本进入导出</x:v>
      </x:c>
    </x:row>
    <x:row r="165" ht="68" customHeight="1">
      <x:c r="A165" s="13" t="str">
        <x:v>第 3 期</x:v>
      </x:c>
      <x:c r="B165" s="13" t="str">
        <x:v>4. 点数与商业化</x:v>
      </x:c>
      <x:c r="C165" s="13" t="str">
        <x:v>BILL-001</x:v>
      </x:c>
      <x:c r="D165" s="13" t="str">
        <x:v>版本化点数包</x:v>
      </x:c>
      <x:c r="E165" s="13" t="str">
        <x:v>BE-PACKAGES-04</x:v>
      </x:c>
      <x:c r="F165" s="13" t="str">
        <x:v>后端</x:v>
      </x:c>
      <x:c r="G165" s="13" t="str">
        <x:v>建立credit_packages表</x:v>
      </x:c>
      <x:c r="H165" s="13" t="str">
        <x:v>套餐ID、双语名、点数、金额、币种、排序、启用</x:v>
      </x:c>
      <x:c r="I165" s="13" t="str">
        <x:v>约束价格和点数为正</x:v>
      </x:c>
      <x:c r="J165" s="13" t="str">
        <x:v>—</x:v>
      </x:c>
      <x:c r="K165" s="13" t="str">
        <x:v>待完成</x:v>
      </x:c>
      <x:c r="L165" s="13" t="str">
        <x:v>09-14～09-15</x:v>
      </x:c>
      <x:c r="M165" s="13" t="str">
        <x:v>—</x:v>
      </x:c>
      <x:c r="N165" s="13" t="str">
        <x:v>order UUID+后端业务订单号；ledger UUID；Stripe session/payment/event ID；价格版本</x:v>
      </x:c>
      <x:c r="O165" s="13" t="str">
        <x:v>order pending/paid/canceled/expired/failed/refunded；账本不可变</x:v>
      </x:c>
      <x:c r="P165" s="13" t="str">
        <x:v>套餐改价、重复点击、Checkout失败、Webhook重放/乱序/伪造、退款争议</x:v>
      </x:c>
      <x:c r="Q165" s="13" t="str">
        <x:v>用户只读本人订单/账本；仅验签Webhook入账；人工调点需授权</x:v>
      </x:c>
      <x:c r="R165" s="13" t="str">
        <x:v>下单键防重复；Event ID去重；订单行锁原子入账；订单/账本进入导出</x:v>
      </x:c>
    </x:row>
    <x:row r="166" ht="68" customHeight="1">
      <x:c r="A166" s="13" t="str">
        <x:v>第 3 期</x:v>
      </x:c>
      <x:c r="B166" s="13" t="str">
        <x:v>4. 点数与商业化</x:v>
      </x:c>
      <x:c r="C166" s="13" t="str">
        <x:v>BILL-001</x:v>
      </x:c>
      <x:c r="D166" s="13" t="str">
        <x:v>版本化点数包</x:v>
      </x:c>
      <x:c r="E166" s="13" t="str">
        <x:v>BE-PACKAGES-05</x:v>
      </x:c>
      <x:c r="F166" s="13" t="str">
        <x:v>后端</x:v>
      </x:c>
      <x:c r="G166" s="13" t="str">
        <x:v>建立pricing_versions表</x:v>
      </x:c>
      <x:c r="H166" s="13" t="str">
        <x:v>版本和生效时间</x:v>
      </x:c>
      <x:c r="I166" s="13" t="str">
        <x:v>历史订单可追溯</x:v>
      </x:c>
      <x:c r="J166" s="13" t="str">
        <x:v>—</x:v>
      </x:c>
      <x:c r="K166" s="13" t="str">
        <x:v>待完成</x:v>
      </x:c>
      <x:c r="L166" s="13" t="str">
        <x:v>09-14～09-15</x:v>
      </x:c>
      <x:c r="M166" s="13" t="str">
        <x:v>—</x:v>
      </x:c>
      <x:c r="N166" s="13" t="str">
        <x:v>order UUID+后端业务订单号；ledger UUID；Stripe session/payment/event ID；价格版本</x:v>
      </x:c>
      <x:c r="O166" s="13" t="str">
        <x:v>order pending/paid/canceled/expired/failed/refunded；账本不可变</x:v>
      </x:c>
      <x:c r="P166" s="13" t="str">
        <x:v>套餐改价、重复点击、Checkout失败、Webhook重放/乱序/伪造、退款争议</x:v>
      </x:c>
      <x:c r="Q166" s="13" t="str">
        <x:v>用户只读本人订单/账本；仅验签Webhook入账；人工调点需授权</x:v>
      </x:c>
      <x:c r="R166" s="13" t="str">
        <x:v>下单键防重复；Event ID去重；订单行锁原子入账；订单/账本进入导出</x:v>
      </x:c>
    </x:row>
    <x:row r="167" ht="68" customHeight="1">
      <x:c r="A167" s="13" t="str">
        <x:v>第 3 期</x:v>
      </x:c>
      <x:c r="B167" s="13" t="str">
        <x:v>4. 点数与商业化</x:v>
      </x:c>
      <x:c r="C167" s="13" t="str">
        <x:v>BILL-001</x:v>
      </x:c>
      <x:c r="D167" s="13" t="str">
        <x:v>版本化点数包</x:v>
      </x:c>
      <x:c r="E167" s="13" t="str">
        <x:v>BE-PACKAGES-06</x:v>
      </x:c>
      <x:c r="F167" s="13" t="str">
        <x:v>后端</x:v>
      </x:c>
      <x:c r="G167" s="13" t="str">
        <x:v>配置三个首发套餐</x:v>
      </x:c>
      <x:c r="H167" s="13" t="str">
        <x:v>30/2.99、75/6.49、180/12.99 USD</x:v>
      </x:c>
      <x:c r="I167" s="13" t="str">
        <x:v>金额使用整数美分</x:v>
      </x:c>
      <x:c r="J167" s="13" t="str">
        <x:v>—</x:v>
      </x:c>
      <x:c r="K167" s="13" t="str">
        <x:v>待完成</x:v>
      </x:c>
      <x:c r="L167" s="13" t="str">
        <x:v>09-14～09-15</x:v>
      </x:c>
      <x:c r="M167" s="13" t="str">
        <x:v>—</x:v>
      </x:c>
      <x:c r="N167" s="13" t="str">
        <x:v>order UUID+后端业务订单号；ledger UUID；Stripe session/payment/event ID；价格版本</x:v>
      </x:c>
      <x:c r="O167" s="13" t="str">
        <x:v>order pending/paid/canceled/expired/failed/refunded；账本不可变</x:v>
      </x:c>
      <x:c r="P167" s="13" t="str">
        <x:v>套餐改价、重复点击、Checkout失败、Webhook重放/乱序/伪造、退款争议</x:v>
      </x:c>
      <x:c r="Q167" s="13" t="str">
        <x:v>用户只读本人订单/账本；仅验签Webhook入账；人工调点需授权</x:v>
      </x:c>
      <x:c r="R167" s="13" t="str">
        <x:v>下单键防重复；Event ID去重；订单行锁原子入账；订单/账本进入导出</x:v>
      </x:c>
    </x:row>
    <x:row r="168" ht="68" customHeight="1">
      <x:c r="A168" s="13" t="str">
        <x:v>第 3 期</x:v>
      </x:c>
      <x:c r="B168" s="13" t="str">
        <x:v>4. 点数与商业化</x:v>
      </x:c>
      <x:c r="C168" s="13" t="str">
        <x:v>BILL-001</x:v>
      </x:c>
      <x:c r="D168" s="13" t="str">
        <x:v>版本化点数包</x:v>
      </x:c>
      <x:c r="E168" s="13" t="str">
        <x:v>BE-PACKAGES-07</x:v>
      </x:c>
      <x:c r="F168" s="13" t="str">
        <x:v>后端</x:v>
      </x:c>
      <x:c r="G168" s="13" t="str">
        <x:v>绑定Stripe Price ID</x:v>
      </x:c>
      <x:c r="H168" s="13" t="str">
        <x:v>测试/生产分别配置</x:v>
      </x:c>
      <x:c r="I168" s="13" t="str">
        <x:v>前端响应不暴露不必要内部配置</x:v>
      </x:c>
      <x:c r="J168" s="13" t="str">
        <x:v>—</x:v>
      </x:c>
      <x:c r="K168" s="13" t="str">
        <x:v>待完成</x:v>
      </x:c>
      <x:c r="L168" s="13" t="str">
        <x:v>09-14～09-15</x:v>
      </x:c>
      <x:c r="M168" s="13" t="str">
        <x:v>—</x:v>
      </x:c>
      <x:c r="N168" s="13" t="str">
        <x:v>order UUID+后端业务订单号；ledger UUID；Stripe session/payment/event ID；价格版本</x:v>
      </x:c>
      <x:c r="O168" s="13" t="str">
        <x:v>order pending/paid/canceled/expired/failed/refunded；账本不可变</x:v>
      </x:c>
      <x:c r="P168" s="13" t="str">
        <x:v>套餐改价、重复点击、Checkout失败、Webhook重放/乱序/伪造、退款争议</x:v>
      </x:c>
      <x:c r="Q168" s="13" t="str">
        <x:v>用户只读本人订单/账本；仅验签Webhook入账；人工调点需授权</x:v>
      </x:c>
      <x:c r="R168" s="13" t="str">
        <x:v>下单键防重复；Event ID去重；订单行锁原子入账；订单/账本进入导出</x:v>
      </x:c>
    </x:row>
    <x:row r="169" ht="68" customHeight="1">
      <x:c r="A169" s="13" t="str">
        <x:v>第 3 期</x:v>
      </x:c>
      <x:c r="B169" s="13" t="str">
        <x:v>4. 点数与商业化</x:v>
      </x:c>
      <x:c r="C169" s="13" t="str">
        <x:v>BILL-001</x:v>
      </x:c>
      <x:c r="D169" s="13" t="str">
        <x:v>版本化点数包</x:v>
      </x:c>
      <x:c r="E169" s="13" t="str">
        <x:v>BE-PACKAGES-08</x:v>
      </x:c>
      <x:c r="F169" s="13" t="str">
        <x:v>后端</x:v>
      </x:c>
      <x:c r="G169" s="13" t="str">
        <x:v>定义GET /api/billing/packages稳定错误码</x:v>
      </x:c>
      <x:c r="H169" s="13" t="str">
        <x:v>错误枚举和HTTP映射</x:v>
      </x:c>
      <x:c r="I169" s="13" t="str">
        <x:v>前端无需解析内部错误正文</x:v>
      </x:c>
      <x:c r="J169" s="13" t="str">
        <x:v>BE-PACKAGES-02</x:v>
      </x:c>
      <x:c r="K169" s="13" t="str">
        <x:v>待完成</x:v>
      </x:c>
      <x:c r="L169" s="13" t="str">
        <x:v>09-14～09-15</x:v>
      </x:c>
      <x:c r="M169" s="13" t="str">
        <x:v>—</x:v>
      </x:c>
      <x:c r="N169" s="13" t="str">
        <x:v>order UUID+后端业务订单号；ledger UUID；Stripe session/payment/event ID；价格版本</x:v>
      </x:c>
      <x:c r="O169" s="13" t="str">
        <x:v>order pending/paid/canceled/expired/failed/refunded；账本不可变</x:v>
      </x:c>
      <x:c r="P169" s="13" t="str">
        <x:v>套餐改价、重复点击、Checkout失败、Webhook重放/乱序/伪造、退款争议</x:v>
      </x:c>
      <x:c r="Q169" s="13" t="str">
        <x:v>用户只读本人订单/账本；仅验签Webhook入账；人工调点需授权</x:v>
      </x:c>
      <x:c r="R169" s="13" t="str">
        <x:v>下单键防重复；Event ID去重；订单行锁原子入账；订单/账本进入导出</x:v>
      </x:c>
    </x:row>
    <x:row r="170" ht="68" customHeight="1">
      <x:c r="A170" s="13" t="str">
        <x:v>第 3 期</x:v>
      </x:c>
      <x:c r="B170" s="13" t="str">
        <x:v>4. 点数与商业化</x:v>
      </x:c>
      <x:c r="C170" s="13" t="str">
        <x:v>BILL-001</x:v>
      </x:c>
      <x:c r="D170" s="13" t="str">
        <x:v>版本化点数包</x:v>
      </x:c>
      <x:c r="E170" s="13" t="str">
        <x:v>BE-PACKAGES-09</x:v>
      </x:c>
      <x:c r="F170" s="13" t="str">
        <x:v>后端</x:v>
      </x:c>
      <x:c r="G170" s="13" t="str">
        <x:v>编写GET /api/billing/packages单元与集成测试</x:v>
      </x:c>
      <x:c r="H170" s="13" t="str">
        <x:v>成功/失败/重复/越权测试</x:v>
      </x:c>
      <x:c r="I170" s="13" t="str">
        <x:v>测试可重复运行且数据库副作用可核对</x:v>
      </x:c>
      <x:c r="J170" s="13" t="str">
        <x:v>—</x:v>
      </x:c>
      <x:c r="K170" s="13" t="str">
        <x:v>待完成</x:v>
      </x:c>
      <x:c r="L170" s="13" t="str">
        <x:v>09-14～09-15</x:v>
      </x:c>
      <x:c r="M170" s="13" t="str">
        <x:v>—</x:v>
      </x:c>
      <x:c r="N170" s="13" t="str">
        <x:v>order UUID+后端业务订单号；ledger UUID；Stripe session/payment/event ID；价格版本</x:v>
      </x:c>
      <x:c r="O170" s="13" t="str">
        <x:v>order pending/paid/canceled/expired/failed/refunded；账本不可变</x:v>
      </x:c>
      <x:c r="P170" s="13" t="str">
        <x:v>套餐改价、重复点击、Checkout失败、Webhook重放/乱序/伪造、退款争议</x:v>
      </x:c>
      <x:c r="Q170" s="13" t="str">
        <x:v>用户只读本人订单/账本；仅验签Webhook入账；人工调点需授权</x:v>
      </x:c>
      <x:c r="R170" s="13" t="str">
        <x:v>下单键防重复；Event ID去重；订单行锁原子入账；订单/账本进入导出</x:v>
      </x:c>
    </x:row>
    <x:row r="171" ht="68" customHeight="1">
      <x:c r="A171" s="13" t="str">
        <x:v>第 3 期</x:v>
      </x:c>
      <x:c r="B171" s="13" t="str">
        <x:v>4. 点数与商业化</x:v>
      </x:c>
      <x:c r="C171" s="13" t="str">
        <x:v>BILL-001</x:v>
      </x:c>
      <x:c r="D171" s="13" t="str">
        <x:v>版本化点数包</x:v>
      </x:c>
      <x:c r="E171" s="13" t="str">
        <x:v>BE-PACKAGES-10</x:v>
      </x:c>
      <x:c r="F171" s="13" t="str">
        <x:v>后端</x:v>
      </x:c>
      <x:c r="G171" s="13" t="str">
        <x:v>更新GET /api/billing/packages接口文档</x:v>
      </x:c>
      <x:c r="H171" s="13" t="str">
        <x:v>请求、响应、错误、鉴权和示例</x:v>
      </x:c>
      <x:c r="I171" s="13" t="str">
        <x:v>前端可仅依据文档完成联调</x:v>
      </x:c>
      <x:c r="J171" s="13" t="str">
        <x:v>—</x:v>
      </x:c>
      <x:c r="K171" s="13" t="str">
        <x:v>待完成</x:v>
      </x:c>
      <x:c r="L171" s="13" t="str">
        <x:v>09-14～09-15</x:v>
      </x:c>
      <x:c r="M171" s="13" t="str">
        <x:v>—</x:v>
      </x:c>
      <x:c r="N171" s="13" t="str">
        <x:v>order UUID+后端业务订单号；ledger UUID；Stripe session/payment/event ID；价格版本</x:v>
      </x:c>
      <x:c r="O171" s="13" t="str">
        <x:v>order pending/paid/canceled/expired/failed/refunded；账本不可变</x:v>
      </x:c>
      <x:c r="P171" s="13" t="str">
        <x:v>套餐改价、重复点击、Checkout失败、Webhook重放/乱序/伪造、退款争议</x:v>
      </x:c>
      <x:c r="Q171" s="13" t="str">
        <x:v>用户只读本人订单/账本；仅验签Webhook入账；人工调点需授权</x:v>
      </x:c>
      <x:c r="R171" s="13" t="str">
        <x:v>下单键防重复；Event ID去重；订单行锁原子入账；订单/账本进入导出</x:v>
      </x:c>
    </x:row>
    <x:row r="172" ht="68" customHeight="1">
      <x:c r="A172" s="13" t="str">
        <x:v>第 3 期</x:v>
      </x:c>
      <x:c r="B172" s="13" t="str">
        <x:v>4. 点数与商业化</x:v>
      </x:c>
      <x:c r="C172" s="13" t="str">
        <x:v>BILL-003</x:v>
      </x:c>
      <x:c r="D172" s="13" t="str">
        <x:v>订单与Stripe Checkout</x:v>
      </x:c>
      <x:c r="E172" s="13" t="str">
        <x:v>BE-CHECKOUT-01</x:v>
      </x:c>
      <x:c r="F172" s="13" t="str">
        <x:v>后端</x:v>
      </x:c>
      <x:c r="G172" s="13" t="str">
        <x:v>定义POST /api/billing/checkout请求响应契约</x:v>
      </x:c>
      <x:c r="H172" s="13" t="str">
        <x:v>共享Schema、类型和示例</x:v>
      </x:c>
      <x:c r="I172" s="13" t="str">
        <x:v>合法与非法样例可被自动校验</x:v>
      </x:c>
      <x:c r="J172" s="13" t="str">
        <x:v>—</x:v>
      </x:c>
      <x:c r="K172" s="13" t="str">
        <x:v>待完成</x:v>
      </x:c>
      <x:c r="L172" s="13" t="str">
        <x:v>09-15～09-16</x:v>
      </x:c>
      <x:c r="M172" s="13" t="str">
        <x:v>—</x:v>
      </x:c>
      <x:c r="N172" s="13" t="str">
        <x:v>order UUID+后端业务订单号；ledger UUID；Stripe session/payment/event ID；价格版本</x:v>
      </x:c>
      <x:c r="O172" s="13" t="str">
        <x:v>order pending/paid/canceled/expired/failed/refunded；账本不可变</x:v>
      </x:c>
      <x:c r="P172" s="13" t="str">
        <x:v>套餐改价、重复点击、Checkout失败、Webhook重放/乱序/伪造、退款争议</x:v>
      </x:c>
      <x:c r="Q172" s="13" t="str">
        <x:v>用户只读本人订单/账本；仅验签Webhook入账；人工调点需授权</x:v>
      </x:c>
      <x:c r="R172" s="13" t="str">
        <x:v>下单键防重复；Event ID去重；订单行锁原子入账；订单/账本进入导出</x:v>
      </x:c>
    </x:row>
    <x:row r="173" ht="68" customHeight="1">
      <x:c r="A173" s="13" t="str">
        <x:v>第 3 期</x:v>
      </x:c>
      <x:c r="B173" s="13" t="str">
        <x:v>4. 点数与商业化</x:v>
      </x:c>
      <x:c r="C173" s="13" t="str">
        <x:v>BILL-003</x:v>
      </x:c>
      <x:c r="D173" s="13" t="str">
        <x:v>订单与Stripe Checkout</x:v>
      </x:c>
      <x:c r="E173" s="13" t="str">
        <x:v>BE-CHECKOUT-02</x:v>
      </x:c>
      <x:c r="F173" s="13" t="str">
        <x:v>后端</x:v>
      </x:c>
      <x:c r="G173" s="13" t="str">
        <x:v>实现POST /api/billing/checkout输入校验</x:v>
      </x:c>
      <x:c r="H173" s="13" t="str">
        <x:v>边界校验与字段规范化</x:v>
      </x:c>
      <x:c r="I173" s="13" t="str">
        <x:v>非法输入在副作用前返回稳定400错误</x:v>
      </x:c>
      <x:c r="J173" s="13" t="str">
        <x:v>BE-CHECKOUT-01</x:v>
      </x:c>
      <x:c r="K173" s="13" t="str">
        <x:v>待完成</x:v>
      </x:c>
      <x:c r="L173" s="13" t="str">
        <x:v>09-15～09-16</x:v>
      </x:c>
      <x:c r="M173" s="13" t="str">
        <x:v>—</x:v>
      </x:c>
      <x:c r="N173" s="13" t="str">
        <x:v>order UUID+后端业务订单号；ledger UUID；Stripe session/payment/event ID；价格版本</x:v>
      </x:c>
      <x:c r="O173" s="13" t="str">
        <x:v>order pending/paid/canceled/expired/failed/refunded；账本不可变</x:v>
      </x:c>
      <x:c r="P173" s="13" t="str">
        <x:v>套餐改价、重复点击、Checkout失败、Webhook重放/乱序/伪造、退款争议</x:v>
      </x:c>
      <x:c r="Q173" s="13" t="str">
        <x:v>用户只读本人订单/账本；仅验签Webhook入账；人工调点需授权</x:v>
      </x:c>
      <x:c r="R173" s="13" t="str">
        <x:v>下单键防重复；Event ID去重；订单行锁原子入账；订单/账本进入导出</x:v>
      </x:c>
    </x:row>
    <x:row r="174" ht="68" customHeight="1">
      <x:c r="A174" s="13" t="str">
        <x:v>第 3 期</x:v>
      </x:c>
      <x:c r="B174" s="13" t="str">
        <x:v>4. 点数与商业化</x:v>
      </x:c>
      <x:c r="C174" s="13" t="str">
        <x:v>BILL-003</x:v>
      </x:c>
      <x:c r="D174" s="13" t="str">
        <x:v>订单与Stripe Checkout</x:v>
      </x:c>
      <x:c r="E174" s="13" t="str">
        <x:v>BE-CHECKOUT-03</x:v>
      </x:c>
      <x:c r="F174" s="13" t="str">
        <x:v>后端</x:v>
      </x:c>
      <x:c r="G174" s="13" t="str">
        <x:v>实现POST /api/billing/checkout身份与权限校验</x:v>
      </x:c>
      <x:c r="H174" s="13" t="str">
        <x:v>服务端鉴权和所有权检查</x:v>
      </x:c>
      <x:c r="I174" s="13" t="str">
        <x:v>未登录401；越权按规则403或404</x:v>
      </x:c>
      <x:c r="J174" s="13" t="str">
        <x:v>BE-CHECKOUT-01</x:v>
      </x:c>
      <x:c r="K174" s="13" t="str">
        <x:v>待完成</x:v>
      </x:c>
      <x:c r="L174" s="13" t="str">
        <x:v>09-15～09-16</x:v>
      </x:c>
      <x:c r="M174" s="13" t="str">
        <x:v>—</x:v>
      </x:c>
      <x:c r="N174" s="13" t="str">
        <x:v>order UUID+后端业务订单号；ledger UUID；Stripe session/payment/event ID；价格版本</x:v>
      </x:c>
      <x:c r="O174" s="13" t="str">
        <x:v>order pending/paid/canceled/expired/failed/refunded；账本不可变</x:v>
      </x:c>
      <x:c r="P174" s="13" t="str">
        <x:v>套餐改价、重复点击、Checkout失败、Webhook重放/乱序/伪造、退款争议</x:v>
      </x:c>
      <x:c r="Q174" s="13" t="str">
        <x:v>用户只读本人订单/账本；仅验签Webhook入账；人工调点需授权</x:v>
      </x:c>
      <x:c r="R174" s="13" t="str">
        <x:v>下单键防重复；Event ID去重；订单行锁原子入账；订单/账本进入导出</x:v>
      </x:c>
    </x:row>
    <x:row r="175" ht="68" customHeight="1">
      <x:c r="A175" s="13" t="str">
        <x:v>第 3 期</x:v>
      </x:c>
      <x:c r="B175" s="13" t="str">
        <x:v>4. 点数与商业化</x:v>
      </x:c>
      <x:c r="C175" s="13" t="str">
        <x:v>BILL-003</x:v>
      </x:c>
      <x:c r="D175" s="13" t="str">
        <x:v>订单与Stripe Checkout</x:v>
      </x:c>
      <x:c r="E175" s="13" t="str">
        <x:v>BE-CHECKOUT-04</x:v>
      </x:c>
      <x:c r="F175" s="13" t="str">
        <x:v>后端</x:v>
      </x:c>
      <x:c r="G175" s="13" t="str">
        <x:v>扩展orders订单字段</x:v>
      </x:c>
      <x:c r="H175" s="13" t="str">
        <x:v>order_number、幂等键、价格快照、错误码</x:v>
      </x:c>
      <x:c r="I175" s="13" t="str">
        <x:v>迁移兼容历史订单</x:v>
      </x:c>
      <x:c r="J175" s="13" t="str">
        <x:v>—</x:v>
      </x:c>
      <x:c r="K175" s="13" t="str">
        <x:v>待完成</x:v>
      </x:c>
      <x:c r="L175" s="13" t="str">
        <x:v>09-15～09-16</x:v>
      </x:c>
      <x:c r="M175" s="13" t="str">
        <x:v>—</x:v>
      </x:c>
      <x:c r="N175" s="13" t="str">
        <x:v>order UUID+后端业务订单号；ledger UUID；Stripe session/payment/event ID；价格版本</x:v>
      </x:c>
      <x:c r="O175" s="13" t="str">
        <x:v>order pending/paid/canceled/expired/failed/refunded；账本不可变</x:v>
      </x:c>
      <x:c r="P175" s="13" t="str">
        <x:v>套餐改价、重复点击、Checkout失败、Webhook重放/乱序/伪造、退款争议</x:v>
      </x:c>
      <x:c r="Q175" s="13" t="str">
        <x:v>用户只读本人订单/账本；仅验签Webhook入账；人工调点需授权</x:v>
      </x:c>
      <x:c r="R175" s="13" t="str">
        <x:v>下单键防重复；Event ID去重；订单行锁原子入账；订单/账本进入导出</x:v>
      </x:c>
    </x:row>
    <x:row r="176" ht="68" customHeight="1">
      <x:c r="A176" s="13" t="str">
        <x:v>第 3 期</x:v>
      </x:c>
      <x:c r="B176" s="13" t="str">
        <x:v>4. 点数与商业化</x:v>
      </x:c>
      <x:c r="C176" s="13" t="str">
        <x:v>BILL-003</x:v>
      </x:c>
      <x:c r="D176" s="13" t="str">
        <x:v>订单与Stripe Checkout</x:v>
      </x:c>
      <x:c r="E176" s="13" t="str">
        <x:v>BE-CHECKOUT-05</x:v>
      </x:c>
      <x:c r="F176" s="13" t="str">
        <x:v>后端</x:v>
      </x:c>
      <x:c r="G176" s="13" t="str">
        <x:v>生成内部订单UUID</x:v>
      </x:c>
      <x:c r="H176" s="13" t="str">
        <x:v>数据库默认UUID</x:v>
      </x:c>
      <x:c r="I176" s="13" t="str">
        <x:v>不用于客服展示</x:v>
      </x:c>
      <x:c r="J176" s="13" t="str">
        <x:v>—</x:v>
      </x:c>
      <x:c r="K176" s="13" t="str">
        <x:v>待完成</x:v>
      </x:c>
      <x:c r="L176" s="13" t="str">
        <x:v>09-15～09-16</x:v>
      </x:c>
      <x:c r="M176" s="13" t="str">
        <x:v>—</x:v>
      </x:c>
      <x:c r="N176" s="13" t="str">
        <x:v>order UUID+后端业务订单号；ledger UUID；Stripe session/payment/event ID；价格版本</x:v>
      </x:c>
      <x:c r="O176" s="13" t="str">
        <x:v>order pending/paid/canceled/expired/failed/refunded；账本不可变</x:v>
      </x:c>
      <x:c r="P176" s="13" t="str">
        <x:v>套餐改价、重复点击、Checkout失败、Webhook重放/乱序/伪造、退款争议</x:v>
      </x:c>
      <x:c r="Q176" s="13" t="str">
        <x:v>用户只读本人订单/账本；仅验签Webhook入账；人工调点需授权</x:v>
      </x:c>
      <x:c r="R176" s="13" t="str">
        <x:v>下单键防重复；Event ID去重；订单行锁原子入账；订单/账本进入导出</x:v>
      </x:c>
    </x:row>
    <x:row r="177" ht="68" customHeight="1">
      <x:c r="A177" s="13" t="str">
        <x:v>第 3 期</x:v>
      </x:c>
      <x:c r="B177" s="13" t="str">
        <x:v>4. 点数与商业化</x:v>
      </x:c>
      <x:c r="C177" s="13" t="str">
        <x:v>BILL-003</x:v>
      </x:c>
      <x:c r="D177" s="13" t="str">
        <x:v>订单与Stripe Checkout</x:v>
      </x:c>
      <x:c r="E177" s="13" t="str">
        <x:v>BE-CHECKOUT-06</x:v>
      </x:c>
      <x:c r="F177" s="13" t="str">
        <x:v>后端</x:v>
      </x:c>
      <x:c r="G177" s="13" t="str">
        <x:v>后端生成业务订单号</x:v>
      </x:c>
      <x:c r="H177" s="13" t="str">
        <x:v>ICO-YYYYMMDD-XXXXXXXXXX</x:v>
      </x:c>
      <x:c r="I177" s="13" t="str">
        <x:v>唯一、不可预测、冲突自动重试</x:v>
      </x:c>
      <x:c r="J177" s="13" t="str">
        <x:v>—</x:v>
      </x:c>
      <x:c r="K177" s="13" t="str">
        <x:v>待完成</x:v>
      </x:c>
      <x:c r="L177" s="13" t="str">
        <x:v>09-15～09-16</x:v>
      </x:c>
      <x:c r="M177" s="13" t="str">
        <x:v>—</x:v>
      </x:c>
      <x:c r="N177" s="13" t="str">
        <x:v>order UUID+后端业务订单号；ledger UUID；Stripe session/payment/event ID；价格版本</x:v>
      </x:c>
      <x:c r="O177" s="13" t="str">
        <x:v>order pending/paid/canceled/expired/failed/refunded；账本不可变</x:v>
      </x:c>
      <x:c r="P177" s="13" t="str">
        <x:v>套餐改价、重复点击、Checkout失败、Webhook重放/乱序/伪造、退款争议</x:v>
      </x:c>
      <x:c r="Q177" s="13" t="str">
        <x:v>用户只读本人订单/账本；仅验签Webhook入账；人工调点需授权</x:v>
      </x:c>
      <x:c r="R177" s="13" t="str">
        <x:v>下单键防重复；Event ID去重；订单行锁原子入账；订单/账本进入导出</x:v>
      </x:c>
    </x:row>
    <x:row r="178" ht="68" customHeight="1">
      <x:c r="A178" s="13" t="str">
        <x:v>第 3 期</x:v>
      </x:c>
      <x:c r="B178" s="13" t="str">
        <x:v>4. 点数与商业化</x:v>
      </x:c>
      <x:c r="C178" s="13" t="str">
        <x:v>BILL-003</x:v>
      </x:c>
      <x:c r="D178" s="13" t="str">
        <x:v>订单与Stripe Checkout</x:v>
      </x:c>
      <x:c r="E178" s="13" t="str">
        <x:v>BE-CHECKOUT-07</x:v>
      </x:c>
      <x:c r="F178" s="13" t="str">
        <x:v>后端</x:v>
      </x:c>
      <x:c r="G178" s="13" t="str">
        <x:v>建立用户+幂等键唯一约束</x:v>
      </x:c>
      <x:c r="H178" s="13" t="str">
        <x:v>(user_id,idempotency_key)</x:v>
      </x:c>
      <x:c r="I178" s="13" t="str">
        <x:v>重复请求复用订单</x:v>
      </x:c>
      <x:c r="J178" s="13" t="str">
        <x:v>—</x:v>
      </x:c>
      <x:c r="K178" s="13" t="str">
        <x:v>待完成</x:v>
      </x:c>
      <x:c r="L178" s="13" t="str">
        <x:v>09-15～09-16</x:v>
      </x:c>
      <x:c r="M178" s="13" t="str">
        <x:v>—</x:v>
      </x:c>
      <x:c r="N178" s="13" t="str">
        <x:v>order UUID+后端业务订单号；ledger UUID；Stripe session/payment/event ID；价格版本</x:v>
      </x:c>
      <x:c r="O178" s="13" t="str">
        <x:v>order pending/paid/canceled/expired/failed/refunded；账本不可变</x:v>
      </x:c>
      <x:c r="P178" s="13" t="str">
        <x:v>套餐改价、重复点击、Checkout失败、Webhook重放/乱序/伪造、退款争议</x:v>
      </x:c>
      <x:c r="Q178" s="13" t="str">
        <x:v>用户只读本人订单/账本；仅验签Webhook入账；人工调点需授权</x:v>
      </x:c>
      <x:c r="R178" s="13" t="str">
        <x:v>下单键防重复；Event ID去重；订单行锁原子入账；订单/账本进入导出</x:v>
      </x:c>
    </x:row>
    <x:row r="179" ht="68" customHeight="1">
      <x:c r="A179" s="13" t="str">
        <x:v>第 3 期</x:v>
      </x:c>
      <x:c r="B179" s="13" t="str">
        <x:v>4. 点数与商业化</x:v>
      </x:c>
      <x:c r="C179" s="13" t="str">
        <x:v>BILL-003</x:v>
      </x:c>
      <x:c r="D179" s="13" t="str">
        <x:v>订单与Stripe Checkout</x:v>
      </x:c>
      <x:c r="E179" s="13" t="str">
        <x:v>BE-CHECKOUT-08</x:v>
      </x:c>
      <x:c r="F179" s="13" t="str">
        <x:v>后端</x:v>
      </x:c>
      <x:c r="G179" s="13" t="str">
        <x:v>读取并锁定启用套餐</x:v>
      </x:c>
      <x:c r="H179" s="13" t="str">
        <x:v>packageId+pricingVersion</x:v>
      </x:c>
      <x:c r="I179" s="13" t="str">
        <x:v>不信任客户端金额/点数</x:v>
      </x:c>
      <x:c r="J179" s="13" t="str">
        <x:v>—</x:v>
      </x:c>
      <x:c r="K179" s="13" t="str">
        <x:v>待完成</x:v>
      </x:c>
      <x:c r="L179" s="13" t="str">
        <x:v>09-15～09-16</x:v>
      </x:c>
      <x:c r="M179" s="13" t="str">
        <x:v>—</x:v>
      </x:c>
      <x:c r="N179" s="13" t="str">
        <x:v>order UUID+后端业务订单号；ledger UUID；Stripe session/payment/event ID；价格版本</x:v>
      </x:c>
      <x:c r="O179" s="13" t="str">
        <x:v>order pending/paid/canceled/expired/failed/refunded；账本不可变</x:v>
      </x:c>
      <x:c r="P179" s="13" t="str">
        <x:v>套餐改价、重复点击、Checkout失败、Webhook重放/乱序/伪造、退款争议</x:v>
      </x:c>
      <x:c r="Q179" s="13" t="str">
        <x:v>用户只读本人订单/账本；仅验签Webhook入账；人工调点需授权</x:v>
      </x:c>
      <x:c r="R179" s="13" t="str">
        <x:v>下单键防重复；Event ID去重；订单行锁原子入账；订单/账本进入导出</x:v>
      </x:c>
    </x:row>
    <x:row r="180" ht="68" customHeight="1">
      <x:c r="A180" s="13" t="str">
        <x:v>第 3 期</x:v>
      </x:c>
      <x:c r="B180" s="13" t="str">
        <x:v>4. 点数与商业化</x:v>
      </x:c>
      <x:c r="C180" s="13" t="str">
        <x:v>BILL-003</x:v>
      </x:c>
      <x:c r="D180" s="13" t="str">
        <x:v>订单与Stripe Checkout</x:v>
      </x:c>
      <x:c r="E180" s="13" t="str">
        <x:v>BE-CHECKOUT-09</x:v>
      </x:c>
      <x:c r="F180" s="13" t="str">
        <x:v>后端</x:v>
      </x:c>
      <x:c r="G180" s="13" t="str">
        <x:v>固化订单价格快照</x:v>
      </x:c>
      <x:c r="H180" s="13" t="str">
        <x:v>套餐名、Price ID、金额、币种、点数、版本</x:v>
      </x:c>
      <x:c r="I180" s="13" t="str">
        <x:v>套餐改价不改变历史订单</x:v>
      </x:c>
      <x:c r="J180" s="13" t="str">
        <x:v>—</x:v>
      </x:c>
      <x:c r="K180" s="13" t="str">
        <x:v>待完成</x:v>
      </x:c>
      <x:c r="L180" s="13" t="str">
        <x:v>09-15～09-16</x:v>
      </x:c>
      <x:c r="M180" s="13" t="str">
        <x:v>—</x:v>
      </x:c>
      <x:c r="N180" s="13" t="str">
        <x:v>order UUID+后端业务订单号；ledger UUID；Stripe session/payment/event ID；价格版本</x:v>
      </x:c>
      <x:c r="O180" s="13" t="str">
        <x:v>order pending/paid/canceled/expired/failed/refunded；账本不可变</x:v>
      </x:c>
      <x:c r="P180" s="13" t="str">
        <x:v>套餐改价、重复点击、Checkout失败、Webhook重放/乱序/伪造、退款争议</x:v>
      </x:c>
      <x:c r="Q180" s="13" t="str">
        <x:v>用户只读本人订单/账本；仅验签Webhook入账；人工调点需授权</x:v>
      </x:c>
      <x:c r="R180" s="13" t="str">
        <x:v>下单键防重复；Event ID去重；订单行锁原子入账；订单/账本进入导出</x:v>
      </x:c>
    </x:row>
    <x:row r="181" ht="68" customHeight="1">
      <x:c r="A181" s="13" t="str">
        <x:v>第 3 期</x:v>
      </x:c>
      <x:c r="B181" s="13" t="str">
        <x:v>4. 点数与商业化</x:v>
      </x:c>
      <x:c r="C181" s="13" t="str">
        <x:v>BILL-003</x:v>
      </x:c>
      <x:c r="D181" s="13" t="str">
        <x:v>订单与Stripe Checkout</x:v>
      </x:c>
      <x:c r="E181" s="13" t="str">
        <x:v>BE-CHECKOUT-10</x:v>
      </x:c>
      <x:c r="F181" s="13" t="str">
        <x:v>后端</x:v>
      </x:c>
      <x:c r="G181" s="13" t="str">
        <x:v>创建pending订单</x:v>
      </x:c>
      <x:c r="H181" s="13" t="str">
        <x:v>订单事务</x:v>
      </x:c>
      <x:c r="I181" s="13" t="str">
        <x:v>数据库失败前不调用Stripe</x:v>
      </x:c>
      <x:c r="J181" s="13" t="str">
        <x:v>—</x:v>
      </x:c>
      <x:c r="K181" s="13" t="str">
        <x:v>待完成</x:v>
      </x:c>
      <x:c r="L181" s="13" t="str">
        <x:v>09-15～09-16</x:v>
      </x:c>
      <x:c r="M181" s="13" t="str">
        <x:v>—</x:v>
      </x:c>
      <x:c r="N181" s="13" t="str">
        <x:v>order UUID+后端业务订单号；ledger UUID；Stripe session/payment/event ID；价格版本</x:v>
      </x:c>
      <x:c r="O181" s="13" t="str">
        <x:v>order pending/paid/canceled/expired/failed/refunded；账本不可变</x:v>
      </x:c>
      <x:c r="P181" s="13" t="str">
        <x:v>套餐改价、重复点击、Checkout失败、Webhook重放/乱序/伪造、退款争议</x:v>
      </x:c>
      <x:c r="Q181" s="13" t="str">
        <x:v>用户只读本人订单/账本；仅验签Webhook入账；人工调点需授权</x:v>
      </x:c>
      <x:c r="R181" s="13" t="str">
        <x:v>下单键防重复；Event ID去重；订单行锁原子入账；订单/账本进入导出</x:v>
      </x:c>
    </x:row>
    <x:row r="182" ht="68" customHeight="1">
      <x:c r="A182" s="13" t="str">
        <x:v>第 3 期</x:v>
      </x:c>
      <x:c r="B182" s="13" t="str">
        <x:v>4. 点数与商业化</x:v>
      </x:c>
      <x:c r="C182" s="13" t="str">
        <x:v>BILL-003</x:v>
      </x:c>
      <x:c r="D182" s="13" t="str">
        <x:v>订单与Stripe Checkout</x:v>
      </x:c>
      <x:c r="E182" s="13" t="str">
        <x:v>BE-CHECKOUT-11</x:v>
      </x:c>
      <x:c r="F182" s="13" t="str">
        <x:v>后端</x:v>
      </x:c>
      <x:c r="G182" s="13" t="str">
        <x:v>创建Stripe Session</x:v>
      </x:c>
      <x:c r="H182" s="13" t="str">
        <x:v>服务端Price ID和success/cancel URL</x:v>
      </x:c>
      <x:c r="I182" s="13" t="str">
        <x:v>metadata含order UUID和orderNumber</x:v>
      </x:c>
      <x:c r="J182" s="13" t="str">
        <x:v>—</x:v>
      </x:c>
      <x:c r="K182" s="13" t="str">
        <x:v>待完成</x:v>
      </x:c>
      <x:c r="L182" s="13" t="str">
        <x:v>09-15～09-16</x:v>
      </x:c>
      <x:c r="M182" s="13" t="str">
        <x:v>—</x:v>
      </x:c>
      <x:c r="N182" s="13" t="str">
        <x:v>order UUID+后端业务订单号；ledger UUID；Stripe session/payment/event ID；价格版本</x:v>
      </x:c>
      <x:c r="O182" s="13" t="str">
        <x:v>order pending/paid/canceled/expired/failed/refunded；账本不可变</x:v>
      </x:c>
      <x:c r="P182" s="13" t="str">
        <x:v>套餐改价、重复点击、Checkout失败、Webhook重放/乱序/伪造、退款争议</x:v>
      </x:c>
      <x:c r="Q182" s="13" t="str">
        <x:v>用户只读本人订单/账本；仅验签Webhook入账；人工调点需授权</x:v>
      </x:c>
      <x:c r="R182" s="13" t="str">
        <x:v>下单键防重复；Event ID去重；订单行锁原子入账；订单/账本进入导出</x:v>
      </x:c>
    </x:row>
    <x:row r="183" ht="68" customHeight="1">
      <x:c r="A183" s="13" t="str">
        <x:v>第 3 期</x:v>
      </x:c>
      <x:c r="B183" s="13" t="str">
        <x:v>4. 点数与商业化</x:v>
      </x:c>
      <x:c r="C183" s="13" t="str">
        <x:v>BILL-003</x:v>
      </x:c>
      <x:c r="D183" s="13" t="str">
        <x:v>订单与Stripe Checkout</x:v>
      </x:c>
      <x:c r="E183" s="13" t="str">
        <x:v>BE-CHECKOUT-12</x:v>
      </x:c>
      <x:c r="F183" s="13" t="str">
        <x:v>后端</x:v>
      </x:c>
      <x:c r="G183" s="13" t="str">
        <x:v>保存Session映射</x:v>
      </x:c>
      <x:c r="H183" s="13" t="str">
        <x:v>checkout session ID</x:v>
      </x:c>
      <x:c r="I183" s="13" t="str">
        <x:v>唯一并可反查订单</x:v>
      </x:c>
      <x:c r="J183" s="13" t="str">
        <x:v>—</x:v>
      </x:c>
      <x:c r="K183" s="13" t="str">
        <x:v>待完成</x:v>
      </x:c>
      <x:c r="L183" s="13" t="str">
        <x:v>09-15～09-16</x:v>
      </x:c>
      <x:c r="M183" s="13" t="str">
        <x:v>—</x:v>
      </x:c>
      <x:c r="N183" s="13" t="str">
        <x:v>order UUID+后端业务订单号；ledger UUID；Stripe session/payment/event ID；价格版本</x:v>
      </x:c>
      <x:c r="O183" s="13" t="str">
        <x:v>order pending/paid/canceled/expired/failed/refunded；账本不可变</x:v>
      </x:c>
      <x:c r="P183" s="13" t="str">
        <x:v>套餐改价、重复点击、Checkout失败、Webhook重放/乱序/伪造、退款争议</x:v>
      </x:c>
      <x:c r="Q183" s="13" t="str">
        <x:v>用户只读本人订单/账本；仅验签Webhook入账；人工调点需授权</x:v>
      </x:c>
      <x:c r="R183" s="13" t="str">
        <x:v>下单键防重复；Event ID去重；订单行锁原子入账；订单/账本进入导出</x:v>
      </x:c>
    </x:row>
    <x:row r="184" ht="68" customHeight="1">
      <x:c r="A184" s="13" t="str">
        <x:v>第 3 期</x:v>
      </x:c>
      <x:c r="B184" s="13" t="str">
        <x:v>4. 点数与商业化</x:v>
      </x:c>
      <x:c r="C184" s="13" t="str">
        <x:v>BILL-003</x:v>
      </x:c>
      <x:c r="D184" s="13" t="str">
        <x:v>订单与Stripe Checkout</x:v>
      </x:c>
      <x:c r="E184" s="13" t="str">
        <x:v>BE-CHECKOUT-13</x:v>
      </x:c>
      <x:c r="F184" s="13" t="str">
        <x:v>后端</x:v>
      </x:c>
      <x:c r="G184" s="13" t="str">
        <x:v>处理Session创建失败</x:v>
      </x:c>
      <x:c r="H184" s="13" t="str">
        <x:v>订单failed+脱敏error_code</x:v>
      </x:c>
      <x:c r="I184" s="13" t="str">
        <x:v>复用幂等键可安全恢复</x:v>
      </x:c>
      <x:c r="J184" s="13" t="str">
        <x:v>—</x:v>
      </x:c>
      <x:c r="K184" s="13" t="str">
        <x:v>待完成</x:v>
      </x:c>
      <x:c r="L184" s="13" t="str">
        <x:v>09-15～09-16</x:v>
      </x:c>
      <x:c r="M184" s="13" t="str">
        <x:v>—</x:v>
      </x:c>
      <x:c r="N184" s="13" t="str">
        <x:v>order UUID+后端业务订单号；ledger UUID；Stripe session/payment/event ID；价格版本</x:v>
      </x:c>
      <x:c r="O184" s="13" t="str">
        <x:v>order pending/paid/canceled/expired/failed/refunded；账本不可变</x:v>
      </x:c>
      <x:c r="P184" s="13" t="str">
        <x:v>套餐改价、重复点击、Checkout失败、Webhook重放/乱序/伪造、退款争议</x:v>
      </x:c>
      <x:c r="Q184" s="13" t="str">
        <x:v>用户只读本人订单/账本；仅验签Webhook入账；人工调点需授权</x:v>
      </x:c>
      <x:c r="R184" s="13" t="str">
        <x:v>下单键防重复；Event ID去重；订单行锁原子入账；订单/账本进入导出</x:v>
      </x:c>
    </x:row>
    <x:row r="185" ht="68" customHeight="1">
      <x:c r="A185" s="13" t="str">
        <x:v>第 3 期</x:v>
      </x:c>
      <x:c r="B185" s="13" t="str">
        <x:v>4. 点数与商业化</x:v>
      </x:c>
      <x:c r="C185" s="13" t="str">
        <x:v>BILL-003</x:v>
      </x:c>
      <x:c r="D185" s="13" t="str">
        <x:v>订单与Stripe Checkout</x:v>
      </x:c>
      <x:c r="E185" s="13" t="str">
        <x:v>BE-CHECKOUT-14</x:v>
      </x:c>
      <x:c r="F185" s="13" t="str">
        <x:v>后端</x:v>
      </x:c>
      <x:c r="G185" s="13" t="str">
        <x:v>返回orderNumber和checkoutUrl</x:v>
      </x:c>
      <x:c r="H185" s="13" t="str">
        <x:v>安全响应DTO</x:v>
      </x:c>
      <x:c r="I185" s="13" t="str">
        <x:v>不返回Stripe Secret或内部错误</x:v>
      </x:c>
      <x:c r="J185" s="13" t="str">
        <x:v>—</x:v>
      </x:c>
      <x:c r="K185" s="13" t="str">
        <x:v>待完成</x:v>
      </x:c>
      <x:c r="L185" s="13" t="str">
        <x:v>09-15～09-16</x:v>
      </x:c>
      <x:c r="M185" s="13" t="str">
        <x:v>—</x:v>
      </x:c>
      <x:c r="N185" s="13" t="str">
        <x:v>order UUID+后端业务订单号；ledger UUID；Stripe session/payment/event ID；价格版本</x:v>
      </x:c>
      <x:c r="O185" s="13" t="str">
        <x:v>order pending/paid/canceled/expired/failed/refunded；账本不可变</x:v>
      </x:c>
      <x:c r="P185" s="13" t="str">
        <x:v>套餐改价、重复点击、Checkout失败、Webhook重放/乱序/伪造、退款争议</x:v>
      </x:c>
      <x:c r="Q185" s="13" t="str">
        <x:v>用户只读本人订单/账本；仅验签Webhook入账；人工调点需授权</x:v>
      </x:c>
      <x:c r="R185" s="13" t="str">
        <x:v>下单键防重复；Event ID去重；订单行锁原子入账；订单/账本进入导出</x:v>
      </x:c>
    </x:row>
    <x:row r="186" ht="68" customHeight="1">
      <x:c r="A186" s="13" t="str">
        <x:v>第 3 期</x:v>
      </x:c>
      <x:c r="B186" s="13" t="str">
        <x:v>4. 点数与商业化</x:v>
      </x:c>
      <x:c r="C186" s="13" t="str">
        <x:v>BILL-003</x:v>
      </x:c>
      <x:c r="D186" s="13" t="str">
        <x:v>订单与Stripe Checkout</x:v>
      </x:c>
      <x:c r="E186" s="13" t="str">
        <x:v>BE-CHECKOUT-15</x:v>
      </x:c>
      <x:c r="F186" s="13" t="str">
        <x:v>后端</x:v>
      </x:c>
      <x:c r="G186" s="13" t="str">
        <x:v>定义POST /api/billing/checkout稳定错误码</x:v>
      </x:c>
      <x:c r="H186" s="13" t="str">
        <x:v>错误枚举和HTTP映射</x:v>
      </x:c>
      <x:c r="I186" s="13" t="str">
        <x:v>前端无需解析内部错误正文</x:v>
      </x:c>
      <x:c r="J186" s="13" t="str">
        <x:v>BE-CHECKOUT-02</x:v>
      </x:c>
      <x:c r="K186" s="13" t="str">
        <x:v>待完成</x:v>
      </x:c>
      <x:c r="L186" s="13" t="str">
        <x:v>09-15～09-16</x:v>
      </x:c>
      <x:c r="M186" s="13" t="str">
        <x:v>—</x:v>
      </x:c>
      <x:c r="N186" s="13" t="str">
        <x:v>order UUID+后端业务订单号；ledger UUID；Stripe session/payment/event ID；价格版本</x:v>
      </x:c>
      <x:c r="O186" s="13" t="str">
        <x:v>order pending/paid/canceled/expired/failed/refunded；账本不可变</x:v>
      </x:c>
      <x:c r="P186" s="13" t="str">
        <x:v>套餐改价、重复点击、Checkout失败、Webhook重放/乱序/伪造、退款争议</x:v>
      </x:c>
      <x:c r="Q186" s="13" t="str">
        <x:v>用户只读本人订单/账本；仅验签Webhook入账；人工调点需授权</x:v>
      </x:c>
      <x:c r="R186" s="13" t="str">
        <x:v>下单键防重复；Event ID去重；订单行锁原子入账；订单/账本进入导出</x:v>
      </x:c>
    </x:row>
    <x:row r="187" ht="68" customHeight="1">
      <x:c r="A187" s="13" t="str">
        <x:v>第 3 期</x:v>
      </x:c>
      <x:c r="B187" s="13" t="str">
        <x:v>4. 点数与商业化</x:v>
      </x:c>
      <x:c r="C187" s="13" t="str">
        <x:v>BILL-003</x:v>
      </x:c>
      <x:c r="D187" s="13" t="str">
        <x:v>订单与Stripe Checkout</x:v>
      </x:c>
      <x:c r="E187" s="13" t="str">
        <x:v>BE-CHECKOUT-16</x:v>
      </x:c>
      <x:c r="F187" s="13" t="str">
        <x:v>后端</x:v>
      </x:c>
      <x:c r="G187" s="13" t="str">
        <x:v>编写POST /api/billing/checkout单元与集成测试</x:v>
      </x:c>
      <x:c r="H187" s="13" t="str">
        <x:v>成功/失败/重复/越权测试</x:v>
      </x:c>
      <x:c r="I187" s="13" t="str">
        <x:v>测试可重复运行且数据库副作用可核对</x:v>
      </x:c>
      <x:c r="J187" s="13" t="str">
        <x:v>—</x:v>
      </x:c>
      <x:c r="K187" s="13" t="str">
        <x:v>待完成</x:v>
      </x:c>
      <x:c r="L187" s="13" t="str">
        <x:v>09-15～09-16</x:v>
      </x:c>
      <x:c r="M187" s="13" t="str">
        <x:v>—</x:v>
      </x:c>
      <x:c r="N187" s="13" t="str">
        <x:v>order UUID+后端业务订单号；ledger UUID；Stripe session/payment/event ID；价格版本</x:v>
      </x:c>
      <x:c r="O187" s="13" t="str">
        <x:v>order pending/paid/canceled/expired/failed/refunded；账本不可变</x:v>
      </x:c>
      <x:c r="P187" s="13" t="str">
        <x:v>套餐改价、重复点击、Checkout失败、Webhook重放/乱序/伪造、退款争议</x:v>
      </x:c>
      <x:c r="Q187" s="13" t="str">
        <x:v>用户只读本人订单/账本；仅验签Webhook入账；人工调点需授权</x:v>
      </x:c>
      <x:c r="R187" s="13" t="str">
        <x:v>下单键防重复；Event ID去重；订单行锁原子入账；订单/账本进入导出</x:v>
      </x:c>
    </x:row>
    <x:row r="188" ht="68" customHeight="1">
      <x:c r="A188" s="13" t="str">
        <x:v>第 3 期</x:v>
      </x:c>
      <x:c r="B188" s="13" t="str">
        <x:v>4. 点数与商业化</x:v>
      </x:c>
      <x:c r="C188" s="13" t="str">
        <x:v>BILL-003</x:v>
      </x:c>
      <x:c r="D188" s="13" t="str">
        <x:v>订单与Stripe Checkout</x:v>
      </x:c>
      <x:c r="E188" s="13" t="str">
        <x:v>BE-CHECKOUT-17</x:v>
      </x:c>
      <x:c r="F188" s="13" t="str">
        <x:v>后端</x:v>
      </x:c>
      <x:c r="G188" s="13" t="str">
        <x:v>更新POST /api/billing/checkout接口文档</x:v>
      </x:c>
      <x:c r="H188" s="13" t="str">
        <x:v>请求、响应、错误、鉴权和示例</x:v>
      </x:c>
      <x:c r="I188" s="13" t="str">
        <x:v>前端可仅依据文档完成联调</x:v>
      </x:c>
      <x:c r="J188" s="13" t="str">
        <x:v>—</x:v>
      </x:c>
      <x:c r="K188" s="13" t="str">
        <x:v>待完成</x:v>
      </x:c>
      <x:c r="L188" s="13" t="str">
        <x:v>09-15～09-16</x:v>
      </x:c>
      <x:c r="M188" s="13" t="str">
        <x:v>—</x:v>
      </x:c>
      <x:c r="N188" s="13" t="str">
        <x:v>order UUID+后端业务订单号；ledger UUID；Stripe session/payment/event ID；价格版本</x:v>
      </x:c>
      <x:c r="O188" s="13" t="str">
        <x:v>order pending/paid/canceled/expired/failed/refunded；账本不可变</x:v>
      </x:c>
      <x:c r="P188" s="13" t="str">
        <x:v>套餐改价、重复点击、Checkout失败、Webhook重放/乱序/伪造、退款争议</x:v>
      </x:c>
      <x:c r="Q188" s="13" t="str">
        <x:v>用户只读本人订单/账本；仅验签Webhook入账；人工调点需授权</x:v>
      </x:c>
      <x:c r="R188" s="13" t="str">
        <x:v>下单键防重复；Event ID去重；订单行锁原子入账；订单/账本进入导出</x:v>
      </x:c>
    </x:row>
    <x:row r="189" ht="68" customHeight="1">
      <x:c r="A189" s="13" t="str">
        <x:v>第 3 期</x:v>
      </x:c>
      <x:c r="B189" s="13" t="str">
        <x:v>4. 点数与商业化</x:v>
      </x:c>
      <x:c r="C189" s="13" t="str">
        <x:v>BILL-003/004</x:v>
      </x:c>
      <x:c r="D189" s="13" t="str">
        <x:v>Stripe Webhook入账</x:v>
      </x:c>
      <x:c r="E189" s="13" t="str">
        <x:v>BE-WEBHOOK-01</x:v>
      </x:c>
      <x:c r="F189" s="13" t="str">
        <x:v>后端</x:v>
      </x:c>
      <x:c r="G189" s="13" t="str">
        <x:v>读取Webhook原始body</x:v>
      </x:c>
      <x:c r="H189" s="13" t="str">
        <x:v>未JSON解析的字节串</x:v>
      </x:c>
      <x:c r="I189" s="13" t="str">
        <x:v>用于正确验签</x:v>
      </x:c>
      <x:c r="J189" s="13" t="str">
        <x:v>—</x:v>
      </x:c>
      <x:c r="K189" s="13" t="str">
        <x:v>待完成</x:v>
      </x:c>
      <x:c r="L189" s="13" t="str">
        <x:v>09-16～09-17</x:v>
      </x:c>
      <x:c r="M189" s="13" t="str">
        <x:v>—</x:v>
      </x:c>
      <x:c r="N189" s="13" t="str">
        <x:v>order UUID+后端业务订单号；ledger UUID；Stripe session/payment/event ID；价格版本</x:v>
      </x:c>
      <x:c r="O189" s="13" t="str">
        <x:v>order pending/paid/canceled/expired/failed/refunded；账本不可变</x:v>
      </x:c>
      <x:c r="P189" s="13" t="str">
        <x:v>套餐改价、重复点击、Checkout失败、Webhook重放/乱序/伪造、退款争议</x:v>
      </x:c>
      <x:c r="Q189" s="13" t="str">
        <x:v>用户只读本人订单/账本；仅验签Webhook入账；人工调点需授权</x:v>
      </x:c>
      <x:c r="R189" s="13" t="str">
        <x:v>下单键防重复；Event ID去重；订单行锁原子入账；订单/账本进入导出</x:v>
      </x:c>
    </x:row>
    <x:row r="190" ht="68" customHeight="1">
      <x:c r="A190" s="13" t="str">
        <x:v>第 3 期</x:v>
      </x:c>
      <x:c r="B190" s="13" t="str">
        <x:v>4. 点数与商业化</x:v>
      </x:c>
      <x:c r="C190" s="13" t="str">
        <x:v>BILL-003/004</x:v>
      </x:c>
      <x:c r="D190" s="13" t="str">
        <x:v>Stripe Webhook入账</x:v>
      </x:c>
      <x:c r="E190" s="13" t="str">
        <x:v>BE-WEBHOOK-02</x:v>
      </x:c>
      <x:c r="F190" s="13" t="str">
        <x:v>后端</x:v>
      </x:c>
      <x:c r="G190" s="13" t="str">
        <x:v>验证Stripe签名</x:v>
      </x:c>
      <x:c r="H190" s="13" t="str">
        <x:v>按环境读取Webhook Secret</x:v>
      </x:c>
      <x:c r="I190" s="13" t="str">
        <x:v>伪造请求400且无副作用</x:v>
      </x:c>
      <x:c r="J190" s="13" t="str">
        <x:v>—</x:v>
      </x:c>
      <x:c r="K190" s="13" t="str">
        <x:v>待完成</x:v>
      </x:c>
      <x:c r="L190" s="13" t="str">
        <x:v>09-16～09-17</x:v>
      </x:c>
      <x:c r="M190" s="13" t="str">
        <x:v>—</x:v>
      </x:c>
      <x:c r="N190" s="13" t="str">
        <x:v>order UUID+后端业务订单号；ledger UUID；Stripe session/payment/event ID；价格版本</x:v>
      </x:c>
      <x:c r="O190" s="13" t="str">
        <x:v>order pending/paid/canceled/expired/failed/refunded；账本不可变</x:v>
      </x:c>
      <x:c r="P190" s="13" t="str">
        <x:v>套餐改价、重复点击、Checkout失败、Webhook重放/乱序/伪造、退款争议</x:v>
      </x:c>
      <x:c r="Q190" s="13" t="str">
        <x:v>用户只读本人订单/账本；仅验签Webhook入账；人工调点需授权</x:v>
      </x:c>
      <x:c r="R190" s="13" t="str">
        <x:v>下单键防重复；Event ID去重；订单行锁原子入账；订单/账本进入导出</x:v>
      </x:c>
    </x:row>
    <x:row r="191" ht="68" customHeight="1">
      <x:c r="A191" s="13" t="str">
        <x:v>第 3 期</x:v>
      </x:c>
      <x:c r="B191" s="13" t="str">
        <x:v>4. 点数与商业化</x:v>
      </x:c>
      <x:c r="C191" s="13" t="str">
        <x:v>BILL-003/004</x:v>
      </x:c>
      <x:c r="D191" s="13" t="str">
        <x:v>Stripe Webhook入账</x:v>
      </x:c>
      <x:c r="E191" s="13" t="str">
        <x:v>BE-WEBHOOK-03</x:v>
      </x:c>
      <x:c r="F191" s="13" t="str">
        <x:v>后端</x:v>
      </x:c>
      <x:c r="G191" s="13" t="str">
        <x:v>按Event ID去重</x:v>
      </x:c>
      <x:c r="H191" s="13" t="str">
        <x:v>stripe_events主键</x:v>
      </x:c>
      <x:c r="I191" s="13" t="str">
        <x:v>重复事件直接返回成功</x:v>
      </x:c>
      <x:c r="J191" s="13" t="str">
        <x:v>—</x:v>
      </x:c>
      <x:c r="K191" s="13" t="str">
        <x:v>待完成</x:v>
      </x:c>
      <x:c r="L191" s="13" t="str">
        <x:v>09-16～09-17</x:v>
      </x:c>
      <x:c r="M191" s="13" t="str">
        <x:v>—</x:v>
      </x:c>
      <x:c r="N191" s="13" t="str">
        <x:v>order UUID+后端业务订单号；ledger UUID；Stripe session/payment/event ID；价格版本</x:v>
      </x:c>
      <x:c r="O191" s="13" t="str">
        <x:v>order pending/paid/canceled/expired/failed/refunded；账本不可变</x:v>
      </x:c>
      <x:c r="P191" s="13" t="str">
        <x:v>套餐改价、重复点击、Checkout失败、Webhook重放/乱序/伪造、退款争议</x:v>
      </x:c>
      <x:c r="Q191" s="13" t="str">
        <x:v>用户只读本人订单/账本；仅验签Webhook入账；人工调点需授权</x:v>
      </x:c>
      <x:c r="R191" s="13" t="str">
        <x:v>下单键防重复；Event ID去重；订单行锁原子入账；订单/账本进入导出</x:v>
      </x:c>
    </x:row>
    <x:row r="192" ht="68" customHeight="1">
      <x:c r="A192" s="13" t="str">
        <x:v>第 3 期</x:v>
      </x:c>
      <x:c r="B192" s="13" t="str">
        <x:v>4. 点数与商业化</x:v>
      </x:c>
      <x:c r="C192" s="13" t="str">
        <x:v>BILL-003/004</x:v>
      </x:c>
      <x:c r="D192" s="13" t="str">
        <x:v>Stripe Webhook入账</x:v>
      </x:c>
      <x:c r="E192" s="13" t="str">
        <x:v>BE-WEBHOOK-04</x:v>
      </x:c>
      <x:c r="F192" s="13" t="str">
        <x:v>后端</x:v>
      </x:c>
      <x:c r="G192" s="13" t="str">
        <x:v>路由支持事件类型</x:v>
      </x:c>
      <x:c r="H192" s="13" t="str">
        <x:v>completed/expired/failed/refund/dispute</x:v>
      </x:c>
      <x:c r="I192" s="13" t="str">
        <x:v>未知事件安全忽略并记录</x:v>
      </x:c>
      <x:c r="J192" s="13" t="str">
        <x:v>—</x:v>
      </x:c>
      <x:c r="K192" s="13" t="str">
        <x:v>待完成</x:v>
      </x:c>
      <x:c r="L192" s="13" t="str">
        <x:v>09-16～09-17</x:v>
      </x:c>
      <x:c r="M192" s="13" t="str">
        <x:v>—</x:v>
      </x:c>
      <x:c r="N192" s="13" t="str">
        <x:v>order UUID+后端业务订单号；ledger UUID；Stripe session/payment/event ID；价格版本</x:v>
      </x:c>
      <x:c r="O192" s="13" t="str">
        <x:v>order pending/paid/canceled/expired/failed/refunded；账本不可变</x:v>
      </x:c>
      <x:c r="P192" s="13" t="str">
        <x:v>套餐改价、重复点击、Checkout失败、Webhook重放/乱序/伪造、退款争议</x:v>
      </x:c>
      <x:c r="Q192" s="13" t="str">
        <x:v>用户只读本人订单/账本；仅验签Webhook入账；人工调点需授权</x:v>
      </x:c>
      <x:c r="R192" s="13" t="str">
        <x:v>下单键防重复；Event ID去重；订单行锁原子入账；订单/账本进入导出</x:v>
      </x:c>
    </x:row>
    <x:row r="193" ht="68" customHeight="1">
      <x:c r="A193" s="13" t="str">
        <x:v>第 3 期</x:v>
      </x:c>
      <x:c r="B193" s="13" t="str">
        <x:v>4. 点数与商业化</x:v>
      </x:c>
      <x:c r="C193" s="13" t="str">
        <x:v>BILL-003/004</x:v>
      </x:c>
      <x:c r="D193" s="13" t="str">
        <x:v>Stripe Webhook入账</x:v>
      </x:c>
      <x:c r="E193" s="13" t="str">
        <x:v>BE-WEBHOOK-05</x:v>
      </x:c>
      <x:c r="F193" s="13" t="str">
        <x:v>后端</x:v>
      </x:c>
      <x:c r="G193" s="13" t="str">
        <x:v>解析内部订单UUID</x:v>
      </x:c>
      <x:c r="H193" s="13" t="str">
        <x:v>metadata orderId</x:v>
      </x:c>
      <x:c r="I193" s="13" t="str">
        <x:v>缺失或格式错误不入账</x:v>
      </x:c>
      <x:c r="J193" s="13" t="str">
        <x:v>—</x:v>
      </x:c>
      <x:c r="K193" s="13" t="str">
        <x:v>待完成</x:v>
      </x:c>
      <x:c r="L193" s="13" t="str">
        <x:v>09-16～09-17</x:v>
      </x:c>
      <x:c r="M193" s="13" t="str">
        <x:v>—</x:v>
      </x:c>
      <x:c r="N193" s="13" t="str">
        <x:v>order UUID+后端业务订单号；ledger UUID；Stripe session/payment/event ID；价格版本</x:v>
      </x:c>
      <x:c r="O193" s="13" t="str">
        <x:v>order pending/paid/canceled/expired/failed/refunded；账本不可变</x:v>
      </x:c>
      <x:c r="P193" s="13" t="str">
        <x:v>套餐改价、重复点击、Checkout失败、Webhook重放/乱序/伪造、退款争议</x:v>
      </x:c>
      <x:c r="Q193" s="13" t="str">
        <x:v>用户只读本人订单/账本；仅验签Webhook入账；人工调点需授权</x:v>
      </x:c>
      <x:c r="R193" s="13" t="str">
        <x:v>下单键防重复；Event ID去重；订单行锁原子入账；订单/账本进入导出</x:v>
      </x:c>
    </x:row>
    <x:row r="194" ht="68" customHeight="1">
      <x:c r="A194" s="13" t="str">
        <x:v>第 3 期</x:v>
      </x:c>
      <x:c r="B194" s="13" t="str">
        <x:v>4. 点数与商业化</x:v>
      </x:c>
      <x:c r="C194" s="13" t="str">
        <x:v>BILL-003/004</x:v>
      </x:c>
      <x:c r="D194" s="13" t="str">
        <x:v>Stripe Webhook入账</x:v>
      </x:c>
      <x:c r="E194" s="13" t="str">
        <x:v>BE-WEBHOOK-06</x:v>
      </x:c>
      <x:c r="F194" s="13" t="str">
        <x:v>后端</x:v>
      </x:c>
      <x:c r="G194" s="13" t="str">
        <x:v>锁定订单行</x:v>
      </x:c>
      <x:c r="H194" s="13" t="str">
        <x:v>SELECT FOR UPDATE</x:v>
      </x:c>
      <x:c r="I194" s="13" t="str">
        <x:v>并发事件串行化</x:v>
      </x:c>
      <x:c r="J194" s="13" t="str">
        <x:v>—</x:v>
      </x:c>
      <x:c r="K194" s="13" t="str">
        <x:v>待完成</x:v>
      </x:c>
      <x:c r="L194" s="13" t="str">
        <x:v>09-16～09-17</x:v>
      </x:c>
      <x:c r="M194" s="13" t="str">
        <x:v>—</x:v>
      </x:c>
      <x:c r="N194" s="13" t="str">
        <x:v>order UUID+后端业务订单号；ledger UUID；Stripe session/payment/event ID；价格版本</x:v>
      </x:c>
      <x:c r="O194" s="13" t="str">
        <x:v>order pending/paid/canceled/expired/failed/refunded；账本不可变</x:v>
      </x:c>
      <x:c r="P194" s="13" t="str">
        <x:v>套餐改价、重复点击、Checkout失败、Webhook重放/乱序/伪造、退款争议</x:v>
      </x:c>
      <x:c r="Q194" s="13" t="str">
        <x:v>用户只读本人订单/账本；仅验签Webhook入账；人工调点需授权</x:v>
      </x:c>
      <x:c r="R194" s="13" t="str">
        <x:v>下单键防重复；Event ID去重；订单行锁原子入账；订单/账本进入导出</x:v>
      </x:c>
    </x:row>
    <x:row r="195" ht="68" customHeight="1">
      <x:c r="A195" s="13" t="str">
        <x:v>第 3 期</x:v>
      </x:c>
      <x:c r="B195" s="13" t="str">
        <x:v>4. 点数与商业化</x:v>
      </x:c>
      <x:c r="C195" s="13" t="str">
        <x:v>BILL-003/004</x:v>
      </x:c>
      <x:c r="D195" s="13" t="str">
        <x:v>Stripe Webhook入账</x:v>
      </x:c>
      <x:c r="E195" s="13" t="str">
        <x:v>BE-WEBHOOK-07</x:v>
      </x:c>
      <x:c r="F195" s="13" t="str">
        <x:v>后端</x:v>
      </x:c>
      <x:c r="G195" s="13" t="str">
        <x:v>核对Session ID</x:v>
      </x:c>
      <x:c r="H195" s="13" t="str">
        <x:v>事件对象与订单映射一致</x:v>
      </x:c>
      <x:c r="I195" s="13" t="str">
        <x:v>不一致告警且回滚</x:v>
      </x:c>
      <x:c r="J195" s="13" t="str">
        <x:v>—</x:v>
      </x:c>
      <x:c r="K195" s="13" t="str">
        <x:v>待完成</x:v>
      </x:c>
      <x:c r="L195" s="13" t="str">
        <x:v>09-16～09-17</x:v>
      </x:c>
      <x:c r="M195" s="13" t="str">
        <x:v>—</x:v>
      </x:c>
      <x:c r="N195" s="13" t="str">
        <x:v>order UUID+后端业务订单号；ledger UUID；Stripe session/payment/event ID；价格版本</x:v>
      </x:c>
      <x:c r="O195" s="13" t="str">
        <x:v>order pending/paid/canceled/expired/failed/refunded；账本不可变</x:v>
      </x:c>
      <x:c r="P195" s="13" t="str">
        <x:v>套餐改价、重复点击、Checkout失败、Webhook重放/乱序/伪造、退款争议</x:v>
      </x:c>
      <x:c r="Q195" s="13" t="str">
        <x:v>用户只读本人订单/账本；仅验签Webhook入账；人工调点需授权</x:v>
      </x:c>
      <x:c r="R195" s="13" t="str">
        <x:v>下单键防重复；Event ID去重；订单行锁原子入账；订单/账本进入导出</x:v>
      </x:c>
    </x:row>
    <x:row r="196" ht="68" customHeight="1">
      <x:c r="A196" s="13" t="str">
        <x:v>第 3 期</x:v>
      </x:c>
      <x:c r="B196" s="13" t="str">
        <x:v>4. 点数与商业化</x:v>
      </x:c>
      <x:c r="C196" s="13" t="str">
        <x:v>BILL-003/004</x:v>
      </x:c>
      <x:c r="D196" s="13" t="str">
        <x:v>Stripe Webhook入账</x:v>
      </x:c>
      <x:c r="E196" s="13" t="str">
        <x:v>BE-WEBHOOK-08</x:v>
      </x:c>
      <x:c r="F196" s="13" t="str">
        <x:v>后端</x:v>
      </x:c>
      <x:c r="G196" s="13" t="str">
        <x:v>核对金额和币种</x:v>
      </x:c>
      <x:c r="H196" s="13" t="str">
        <x:v>amount_total/currency与快照一致</x:v>
      </x:c>
      <x:c r="I196" s="13" t="str">
        <x:v>不一致禁止加点</x:v>
      </x:c>
      <x:c r="J196" s="13" t="str">
        <x:v>—</x:v>
      </x:c>
      <x:c r="K196" s="13" t="str">
        <x:v>待完成</x:v>
      </x:c>
      <x:c r="L196" s="13" t="str">
        <x:v>09-16～09-17</x:v>
      </x:c>
      <x:c r="M196" s="13" t="str">
        <x:v>—</x:v>
      </x:c>
      <x:c r="N196" s="13" t="str">
        <x:v>order UUID+后端业务订单号；ledger UUID；Stripe session/payment/event ID；价格版本</x:v>
      </x:c>
      <x:c r="O196" s="13" t="str">
        <x:v>order pending/paid/canceled/expired/failed/refunded；账本不可变</x:v>
      </x:c>
      <x:c r="P196" s="13" t="str">
        <x:v>套餐改价、重复点击、Checkout失败、Webhook重放/乱序/伪造、退款争议</x:v>
      </x:c>
      <x:c r="Q196" s="13" t="str">
        <x:v>用户只读本人订单/账本；仅验签Webhook入账；人工调点需授权</x:v>
      </x:c>
      <x:c r="R196" s="13" t="str">
        <x:v>下单键防重复；Event ID去重；订单行锁原子入账；订单/账本进入导出</x:v>
      </x:c>
    </x:row>
    <x:row r="197" ht="68" customHeight="1">
      <x:c r="A197" s="13" t="str">
        <x:v>第 3 期</x:v>
      </x:c>
      <x:c r="B197" s="13" t="str">
        <x:v>4. 点数与商业化</x:v>
      </x:c>
      <x:c r="C197" s="13" t="str">
        <x:v>BILL-003/004</x:v>
      </x:c>
      <x:c r="D197" s="13" t="str">
        <x:v>Stripe Webhook入账</x:v>
      </x:c>
      <x:c r="E197" s="13" t="str">
        <x:v>BE-WEBHOOK-09</x:v>
      </x:c>
      <x:c r="F197" s="13" t="str">
        <x:v>后端</x:v>
      </x:c>
      <x:c r="G197" s="13" t="str">
        <x:v>将订单更新paid</x:v>
      </x:c>
      <x:c r="H197" s="13" t="str">
        <x:v>paid_at和payment intent</x:v>
      </x:c>
      <x:c r="I197" s="13" t="str">
        <x:v>终态非法转换被拒绝</x:v>
      </x:c>
      <x:c r="J197" s="13" t="str">
        <x:v>—</x:v>
      </x:c>
      <x:c r="K197" s="13" t="str">
        <x:v>待完成</x:v>
      </x:c>
      <x:c r="L197" s="13" t="str">
        <x:v>09-16～09-17</x:v>
      </x:c>
      <x:c r="M197" s="13" t="str">
        <x:v>—</x:v>
      </x:c>
      <x:c r="N197" s="13" t="str">
        <x:v>order UUID+后端业务订单号；ledger UUID；Stripe session/payment/event ID；价格版本</x:v>
      </x:c>
      <x:c r="O197" s="13" t="str">
        <x:v>order pending/paid/canceled/expired/failed/refunded；账本不可变</x:v>
      </x:c>
      <x:c r="P197" s="13" t="str">
        <x:v>套餐改价、重复点击、Checkout失败、Webhook重放/乱序/伪造、退款争议</x:v>
      </x:c>
      <x:c r="Q197" s="13" t="str">
        <x:v>用户只读本人订单/账本；仅验签Webhook入账；人工调点需授权</x:v>
      </x:c>
      <x:c r="R197" s="13" t="str">
        <x:v>下单键防重复；Event ID去重；订单行锁原子入账；订单/账本进入导出</x:v>
      </x:c>
    </x:row>
    <x:row r="198" ht="68" customHeight="1">
      <x:c r="A198" s="13" t="str">
        <x:v>第 3 期</x:v>
      </x:c>
      <x:c r="B198" s="13" t="str">
        <x:v>4. 点数与商业化</x:v>
      </x:c>
      <x:c r="C198" s="13" t="str">
        <x:v>BILL-003/004</x:v>
      </x:c>
      <x:c r="D198" s="13" t="str">
        <x:v>Stripe Webhook入账</x:v>
      </x:c>
      <x:c r="E198" s="13" t="str">
        <x:v>BE-WEBHOOK-10</x:v>
      </x:c>
      <x:c r="F198" s="13" t="str">
        <x:v>后端</x:v>
      </x:c>
      <x:c r="G198" s="13" t="str">
        <x:v>增加点数余额</x:v>
      </x:c>
      <x:c r="H198" s="13" t="str">
        <x:v>credits快照值</x:v>
      </x:c>
      <x:c r="I198" s="13" t="str">
        <x:v>不读取前端或Stripe metadata点数</x:v>
      </x:c>
      <x:c r="J198" s="13" t="str">
        <x:v>—</x:v>
      </x:c>
      <x:c r="K198" s="13" t="str">
        <x:v>待完成</x:v>
      </x:c>
      <x:c r="L198" s="13" t="str">
        <x:v>09-16～09-17</x:v>
      </x:c>
      <x:c r="M198" s="13" t="str">
        <x:v>—</x:v>
      </x:c>
      <x:c r="N198" s="13" t="str">
        <x:v>order UUID+后端业务订单号；ledger UUID；Stripe session/payment/event ID；价格版本</x:v>
      </x:c>
      <x:c r="O198" s="13" t="str">
        <x:v>order pending/paid/canceled/expired/failed/refunded；账本不可变</x:v>
      </x:c>
      <x:c r="P198" s="13" t="str">
        <x:v>套餐改价、重复点击、Checkout失败、Webhook重放/乱序/伪造、退款争议</x:v>
      </x:c>
      <x:c r="Q198" s="13" t="str">
        <x:v>用户只读本人订单/账本；仅验签Webhook入账；人工调点需授权</x:v>
      </x:c>
      <x:c r="R198" s="13" t="str">
        <x:v>下单键防重复；Event ID去重；订单行锁原子入账；订单/账本进入导出</x:v>
      </x:c>
    </x:row>
    <x:row r="199" ht="68" customHeight="1">
      <x:c r="A199" s="13" t="str">
        <x:v>第 3 期</x:v>
      </x:c>
      <x:c r="B199" s="13" t="str">
        <x:v>4. 点数与商业化</x:v>
      </x:c>
      <x:c r="C199" s="13" t="str">
        <x:v>BILL-003/004</x:v>
      </x:c>
      <x:c r="D199" s="13" t="str">
        <x:v>Stripe Webhook入账</x:v>
      </x:c>
      <x:c r="E199" s="13" t="str">
        <x:v>BE-WEBHOOK-11</x:v>
      </x:c>
      <x:c r="F199" s="13" t="str">
        <x:v>后端</x:v>
      </x:c>
      <x:c r="G199" s="13" t="str">
        <x:v>写purchase账本</x:v>
      </x:c>
      <x:c r="H199" s="13" t="str">
        <x:v>order_id和balance_after</x:v>
      </x:c>
      <x:c r="I199" s="13" t="str">
        <x:v>订单/余额/账本同事务</x:v>
      </x:c>
      <x:c r="J199" s="13" t="str">
        <x:v>—</x:v>
      </x:c>
      <x:c r="K199" s="13" t="str">
        <x:v>待完成</x:v>
      </x:c>
      <x:c r="L199" s="13" t="str">
        <x:v>09-16～09-17</x:v>
      </x:c>
      <x:c r="M199" s="13" t="str">
        <x:v>—</x:v>
      </x:c>
      <x:c r="N199" s="13" t="str">
        <x:v>order UUID+后端业务订单号；ledger UUID；Stripe session/payment/event ID；价格版本</x:v>
      </x:c>
      <x:c r="O199" s="13" t="str">
        <x:v>order pending/paid/canceled/expired/failed/refunded；账本不可变</x:v>
      </x:c>
      <x:c r="P199" s="13" t="str">
        <x:v>套餐改价、重复点击、Checkout失败、Webhook重放/乱序/伪造、退款争议</x:v>
      </x:c>
      <x:c r="Q199" s="13" t="str">
        <x:v>用户只读本人订单/账本；仅验签Webhook入账；人工调点需授权</x:v>
      </x:c>
      <x:c r="R199" s="13" t="str">
        <x:v>下单键防重复；Event ID去重；订单行锁原子入账；订单/账本进入导出</x:v>
      </x:c>
    </x:row>
    <x:row r="200" ht="68" customHeight="1">
      <x:c r="A200" s="13" t="str">
        <x:v>第 3 期</x:v>
      </x:c>
      <x:c r="B200" s="13" t="str">
        <x:v>4. 点数与商业化</x:v>
      </x:c>
      <x:c r="C200" s="13" t="str">
        <x:v>BILL-003/004</x:v>
      </x:c>
      <x:c r="D200" s="13" t="str">
        <x:v>Stripe Webhook入账</x:v>
      </x:c>
      <x:c r="E200" s="13" t="str">
        <x:v>BE-WEBHOOK-12</x:v>
      </x:c>
      <x:c r="F200" s="13" t="str">
        <x:v>后端</x:v>
      </x:c>
      <x:c r="G200" s="13" t="str">
        <x:v>处理乱序事件</x:v>
      </x:c>
      <x:c r="H200" s="13" t="str">
        <x:v>paid优先级和终态规则</x:v>
      </x:c>
      <x:c r="I200" s="13" t="str">
        <x:v>expired不得覆盖paid</x:v>
      </x:c>
      <x:c r="J200" s="13" t="str">
        <x:v>—</x:v>
      </x:c>
      <x:c r="K200" s="13" t="str">
        <x:v>待完成</x:v>
      </x:c>
      <x:c r="L200" s="13" t="str">
        <x:v>09-16～09-17</x:v>
      </x:c>
      <x:c r="M200" s="13" t="str">
        <x:v>—</x:v>
      </x:c>
      <x:c r="N200" s="13" t="str">
        <x:v>order UUID+后端业务订单号；ledger UUID；Stripe session/payment/event ID；价格版本</x:v>
      </x:c>
      <x:c r="O200" s="13" t="str">
        <x:v>order pending/paid/canceled/expired/failed/refunded；账本不可变</x:v>
      </x:c>
      <x:c r="P200" s="13" t="str">
        <x:v>套餐改价、重复点击、Checkout失败、Webhook重放/乱序/伪造、退款争议</x:v>
      </x:c>
      <x:c r="Q200" s="13" t="str">
        <x:v>用户只读本人订单/账本；仅验签Webhook入账；人工调点需授权</x:v>
      </x:c>
      <x:c r="R200" s="13" t="str">
        <x:v>下单键防重复；Event ID去重；订单行锁原子入账；订单/账本进入导出</x:v>
      </x:c>
    </x:row>
    <x:row r="201" ht="68" customHeight="1">
      <x:c r="A201" s="13" t="str">
        <x:v>第 3 期</x:v>
      </x:c>
      <x:c r="B201" s="13" t="str">
        <x:v>4. 点数与商业化</x:v>
      </x:c>
      <x:c r="C201" s="13" t="str">
        <x:v>BILL-003/004</x:v>
      </x:c>
      <x:c r="D201" s="13" t="str">
        <x:v>Stripe Webhook入账</x:v>
      </x:c>
      <x:c r="E201" s="13" t="str">
        <x:v>BE-WEBHOOK-13</x:v>
      </x:c>
      <x:c r="F201" s="13" t="str">
        <x:v>后端</x:v>
      </x:c>
      <x:c r="G201" s="13" t="str">
        <x:v>处理重复入账测试</x:v>
      </x:c>
      <x:c r="H201" s="13" t="str">
        <x:v>并发相同/不同Event</x:v>
      </x:c>
      <x:c r="I201" s="13" t="str">
        <x:v>每订单只增加一次点数</x:v>
      </x:c>
      <x:c r="J201" s="13" t="str">
        <x:v>—</x:v>
      </x:c>
      <x:c r="K201" s="13" t="str">
        <x:v>待完成</x:v>
      </x:c>
      <x:c r="L201" s="13" t="str">
        <x:v>09-16～09-17</x:v>
      </x:c>
      <x:c r="M201" s="13" t="str">
        <x:v>—</x:v>
      </x:c>
      <x:c r="N201" s="13" t="str">
        <x:v>order UUID+后端业务订单号；ledger UUID；Stripe session/payment/event ID；价格版本</x:v>
      </x:c>
      <x:c r="O201" s="13" t="str">
        <x:v>order pending/paid/canceled/expired/failed/refunded；账本不可变</x:v>
      </x:c>
      <x:c r="P201" s="13" t="str">
        <x:v>套餐改价、重复点击、Checkout失败、Webhook重放/乱序/伪造、退款争议</x:v>
      </x:c>
      <x:c r="Q201" s="13" t="str">
        <x:v>用户只读本人订单/账本；仅验签Webhook入账；人工调点需授权</x:v>
      </x:c>
      <x:c r="R201" s="13" t="str">
        <x:v>下单键防重复；Event ID去重；订单行锁原子入账；订单/账本进入导出</x:v>
      </x:c>
    </x:row>
    <x:row r="202" ht="68" customHeight="1">
      <x:c r="A202" s="13" t="str">
        <x:v>第 3 期</x:v>
      </x:c>
      <x:c r="B202" s="13" t="str">
        <x:v>4. 点数与商业化</x:v>
      </x:c>
      <x:c r="C202" s="13" t="str">
        <x:v>BILL-004/005</x:v>
      </x:c>
      <x:c r="D202" s="13" t="str">
        <x:v>订单状态与点数账本API</x:v>
      </x:c>
      <x:c r="E202" s="13" t="str">
        <x:v>BE-ORDER-QUERY-01</x:v>
      </x:c>
      <x:c r="F202" s="13" t="str">
        <x:v>后端</x:v>
      </x:c>
      <x:c r="G202" s="13" t="str">
        <x:v>定义orders/{orderNumber}和account/credits请求响应契约</x:v>
      </x:c>
      <x:c r="H202" s="13" t="str">
        <x:v>共享Schema、类型和示例</x:v>
      </x:c>
      <x:c r="I202" s="13" t="str">
        <x:v>合法与非法样例可被自动校验</x:v>
      </x:c>
      <x:c r="J202" s="13" t="str">
        <x:v>—</x:v>
      </x:c>
      <x:c r="K202" s="13" t="str">
        <x:v>待完成</x:v>
      </x:c>
      <x:c r="L202" s="13" t="str">
        <x:v>09-16～09-18</x:v>
      </x:c>
      <x:c r="M202" s="13" t="str">
        <x:v>—</x:v>
      </x:c>
      <x:c r="N202" s="13" t="str">
        <x:v>order UUID+后端业务订单号；ledger UUID；Stripe session/payment/event ID；价格版本</x:v>
      </x:c>
      <x:c r="O202" s="13" t="str">
        <x:v>order pending/paid/canceled/expired/failed/refunded；账本不可变</x:v>
      </x:c>
      <x:c r="P202" s="13" t="str">
        <x:v>套餐改价、重复点击、Checkout失败、Webhook重放/乱序/伪造、退款争议</x:v>
      </x:c>
      <x:c r="Q202" s="13" t="str">
        <x:v>用户只读本人订单/账本；仅验签Webhook入账；人工调点需授权</x:v>
      </x:c>
      <x:c r="R202" s="13" t="str">
        <x:v>下单键防重复；Event ID去重；订单行锁原子入账；订单/账本进入导出</x:v>
      </x:c>
    </x:row>
    <x:row r="203" ht="68" customHeight="1">
      <x:c r="A203" s="13" t="str">
        <x:v>第 3 期</x:v>
      </x:c>
      <x:c r="B203" s="13" t="str">
        <x:v>4. 点数与商业化</x:v>
      </x:c>
      <x:c r="C203" s="13" t="str">
        <x:v>BILL-004/005</x:v>
      </x:c>
      <x:c r="D203" s="13" t="str">
        <x:v>订单状态与点数账本API</x:v>
      </x:c>
      <x:c r="E203" s="13" t="str">
        <x:v>BE-ORDER-QUERY-02</x:v>
      </x:c>
      <x:c r="F203" s="13" t="str">
        <x:v>后端</x:v>
      </x:c>
      <x:c r="G203" s="13" t="str">
        <x:v>实现orders/{orderNumber}和account/credits输入校验</x:v>
      </x:c>
      <x:c r="H203" s="13" t="str">
        <x:v>边界校验与字段规范化</x:v>
      </x:c>
      <x:c r="I203" s="13" t="str">
        <x:v>非法输入在副作用前返回稳定400错误</x:v>
      </x:c>
      <x:c r="J203" s="13" t="str">
        <x:v>BE-ORDER-QUERY-01</x:v>
      </x:c>
      <x:c r="K203" s="13" t="str">
        <x:v>待完成</x:v>
      </x:c>
      <x:c r="L203" s="13" t="str">
        <x:v>09-16～09-18</x:v>
      </x:c>
      <x:c r="M203" s="13" t="str">
        <x:v>—</x:v>
      </x:c>
      <x:c r="N203" s="13" t="str">
        <x:v>order UUID+后端业务订单号；ledger UUID；Stripe session/payment/event ID；价格版本</x:v>
      </x:c>
      <x:c r="O203" s="13" t="str">
        <x:v>order pending/paid/canceled/expired/failed/refunded；账本不可变</x:v>
      </x:c>
      <x:c r="P203" s="13" t="str">
        <x:v>套餐改价、重复点击、Checkout失败、Webhook重放/乱序/伪造、退款争议</x:v>
      </x:c>
      <x:c r="Q203" s="13" t="str">
        <x:v>用户只读本人订单/账本；仅验签Webhook入账；人工调点需授权</x:v>
      </x:c>
      <x:c r="R203" s="13" t="str">
        <x:v>下单键防重复；Event ID去重；订单行锁原子入账；订单/账本进入导出</x:v>
      </x:c>
    </x:row>
    <x:row r="204" ht="68" customHeight="1">
      <x:c r="A204" s="13" t="str">
        <x:v>第 3 期</x:v>
      </x:c>
      <x:c r="B204" s="13" t="str">
        <x:v>4. 点数与商业化</x:v>
      </x:c>
      <x:c r="C204" s="13" t="str">
        <x:v>BILL-004/005</x:v>
      </x:c>
      <x:c r="D204" s="13" t="str">
        <x:v>订单状态与点数账本API</x:v>
      </x:c>
      <x:c r="E204" s="13" t="str">
        <x:v>BE-ORDER-QUERY-03</x:v>
      </x:c>
      <x:c r="F204" s="13" t="str">
        <x:v>后端</x:v>
      </x:c>
      <x:c r="G204" s="13" t="str">
        <x:v>实现orders/{orderNumber}和account/credits身份与权限校验</x:v>
      </x:c>
      <x:c r="H204" s="13" t="str">
        <x:v>服务端鉴权和所有权检查</x:v>
      </x:c>
      <x:c r="I204" s="13" t="str">
        <x:v>未登录401；越权按规则403或404</x:v>
      </x:c>
      <x:c r="J204" s="13" t="str">
        <x:v>BE-ORDER-QUERY-01</x:v>
      </x:c>
      <x:c r="K204" s="13" t="str">
        <x:v>待完成</x:v>
      </x:c>
      <x:c r="L204" s="13" t="str">
        <x:v>09-16～09-18</x:v>
      </x:c>
      <x:c r="M204" s="13" t="str">
        <x:v>—</x:v>
      </x:c>
      <x:c r="N204" s="13" t="str">
        <x:v>order UUID+后端业务订单号；ledger UUID；Stripe session/payment/event ID；价格版本</x:v>
      </x:c>
      <x:c r="O204" s="13" t="str">
        <x:v>order pending/paid/canceled/expired/failed/refunded；账本不可变</x:v>
      </x:c>
      <x:c r="P204" s="13" t="str">
        <x:v>套餐改价、重复点击、Checkout失败、Webhook重放/乱序/伪造、退款争议</x:v>
      </x:c>
      <x:c r="Q204" s="13" t="str">
        <x:v>用户只读本人订单/账本；仅验签Webhook入账；人工调点需授权</x:v>
      </x:c>
      <x:c r="R204" s="13" t="str">
        <x:v>下单键防重复；Event ID去重；订单行锁原子入账；订单/账本进入导出</x:v>
      </x:c>
    </x:row>
    <x:row r="205" ht="68" customHeight="1">
      <x:c r="A205" s="13" t="str">
        <x:v>第 3 期</x:v>
      </x:c>
      <x:c r="B205" s="13" t="str">
        <x:v>4. 点数与商业化</x:v>
      </x:c>
      <x:c r="C205" s="13" t="str">
        <x:v>BILL-004/005</x:v>
      </x:c>
      <x:c r="D205" s="13" t="str">
        <x:v>订单状态与点数账本API</x:v>
      </x:c>
      <x:c r="E205" s="13" t="str">
        <x:v>BE-ORDER-QUERY-04</x:v>
      </x:c>
      <x:c r="F205" s="13" t="str">
        <x:v>后端</x:v>
      </x:c>
      <x:c r="G205" s="13" t="str">
        <x:v>按业务订单号查询订单</x:v>
      </x:c>
      <x:c r="H205" s="13" t="str">
        <x:v>order_number索引</x:v>
      </x:c>
      <x:c r="I205" s="13" t="str">
        <x:v>前端不需要内部UUID</x:v>
      </x:c>
      <x:c r="J205" s="13" t="str">
        <x:v>—</x:v>
      </x:c>
      <x:c r="K205" s="13" t="str">
        <x:v>待完成</x:v>
      </x:c>
      <x:c r="L205" s="13" t="str">
        <x:v>09-16～09-18</x:v>
      </x:c>
      <x:c r="M205" s="13" t="str">
        <x:v>—</x:v>
      </x:c>
      <x:c r="N205" s="13" t="str">
        <x:v>order UUID+后端业务订单号；ledger UUID；Stripe session/payment/event ID；价格版本</x:v>
      </x:c>
      <x:c r="O205" s="13" t="str">
        <x:v>order pending/paid/canceled/expired/failed/refunded；账本不可变</x:v>
      </x:c>
      <x:c r="P205" s="13" t="str">
        <x:v>套餐改价、重复点击、Checkout失败、Webhook重放/乱序/伪造、退款争议</x:v>
      </x:c>
      <x:c r="Q205" s="13" t="str">
        <x:v>用户只读本人订单/账本；仅验签Webhook入账；人工调点需授权</x:v>
      </x:c>
      <x:c r="R205" s="13" t="str">
        <x:v>下单键防重复；Event ID去重；订单行锁原子入账；订单/账本进入导出</x:v>
      </x:c>
    </x:row>
    <x:row r="206" ht="68" customHeight="1">
      <x:c r="A206" s="13" t="str">
        <x:v>第 3 期</x:v>
      </x:c>
      <x:c r="B206" s="13" t="str">
        <x:v>4. 点数与商业化</x:v>
      </x:c>
      <x:c r="C206" s="13" t="str">
        <x:v>BILL-004/005</x:v>
      </x:c>
      <x:c r="D206" s="13" t="str">
        <x:v>订单状态与点数账本API</x:v>
      </x:c>
      <x:c r="E206" s="13" t="str">
        <x:v>BE-ORDER-QUERY-05</x:v>
      </x:c>
      <x:c r="F206" s="13" t="str">
        <x:v>后端</x:v>
      </x:c>
      <x:c r="G206" s="13" t="str">
        <x:v>验证订单属于当前用户</x:v>
      </x:c>
      <x:c r="H206" s="13" t="str">
        <x:v>user_id过滤</x:v>
      </x:c>
      <x:c r="I206" s="13" t="str">
        <x:v>他人订单返回404</x:v>
      </x:c>
      <x:c r="J206" s="13" t="str">
        <x:v>—</x:v>
      </x:c>
      <x:c r="K206" s="13" t="str">
        <x:v>待完成</x:v>
      </x:c>
      <x:c r="L206" s="13" t="str">
        <x:v>09-16～09-18</x:v>
      </x:c>
      <x:c r="M206" s="13" t="str">
        <x:v>—</x:v>
      </x:c>
      <x:c r="N206" s="13" t="str">
        <x:v>order UUID+后端业务订单号；ledger UUID；Stripe session/payment/event ID；价格版本</x:v>
      </x:c>
      <x:c r="O206" s="13" t="str">
        <x:v>order pending/paid/canceled/expired/failed/refunded；账本不可变</x:v>
      </x:c>
      <x:c r="P206" s="13" t="str">
        <x:v>套餐改价、重复点击、Checkout失败、Webhook重放/乱序/伪造、退款争议</x:v>
      </x:c>
      <x:c r="Q206" s="13" t="str">
        <x:v>用户只读本人订单/账本；仅验签Webhook入账；人工调点需授权</x:v>
      </x:c>
      <x:c r="R206" s="13" t="str">
        <x:v>下单键防重复；Event ID去重；订单行锁原子入账；订单/账本进入导出</x:v>
      </x:c>
    </x:row>
    <x:row r="207" ht="68" customHeight="1">
      <x:c r="A207" s="13" t="str">
        <x:v>第 3 期</x:v>
      </x:c>
      <x:c r="B207" s="13" t="str">
        <x:v>4. 点数与商业化</x:v>
      </x:c>
      <x:c r="C207" s="13" t="str">
        <x:v>BILL-004/005</x:v>
      </x:c>
      <x:c r="D207" s="13" t="str">
        <x:v>订单状态与点数账本API</x:v>
      </x:c>
      <x:c r="E207" s="13" t="str">
        <x:v>BE-ORDER-QUERY-06</x:v>
      </x:c>
      <x:c r="F207" s="13" t="str">
        <x:v>后端</x:v>
      </x:c>
      <x:c r="G207" s="13" t="str">
        <x:v>返回安全订单DTO</x:v>
      </x:c>
      <x:c r="H207" s="13" t="str">
        <x:v>状态、套餐、金额、点数、时间</x:v>
      </x:c>
      <x:c r="I207" s="13" t="str">
        <x:v>不返回内部错误或敏感支付数据</x:v>
      </x:c>
      <x:c r="J207" s="13" t="str">
        <x:v>—</x:v>
      </x:c>
      <x:c r="K207" s="13" t="str">
        <x:v>待完成</x:v>
      </x:c>
      <x:c r="L207" s="13" t="str">
        <x:v>09-16～09-18</x:v>
      </x:c>
      <x:c r="M207" s="13" t="str">
        <x:v>—</x:v>
      </x:c>
      <x:c r="N207" s="13" t="str">
        <x:v>order UUID+后端业务订单号；ledger UUID；Stripe session/payment/event ID；价格版本</x:v>
      </x:c>
      <x:c r="O207" s="13" t="str">
        <x:v>order pending/paid/canceled/expired/failed/refunded；账本不可变</x:v>
      </x:c>
      <x:c r="P207" s="13" t="str">
        <x:v>套餐改价、重复点击、Checkout失败、Webhook重放/乱序/伪造、退款争议</x:v>
      </x:c>
      <x:c r="Q207" s="13" t="str">
        <x:v>用户只读本人订单/账本；仅验签Webhook入账；人工调点需授权</x:v>
      </x:c>
      <x:c r="R207" s="13" t="str">
        <x:v>下单键防重复；Event ID去重；订单行锁原子入账；订单/账本进入导出</x:v>
      </x:c>
    </x:row>
    <x:row r="208" ht="68" customHeight="1">
      <x:c r="A208" s="13" t="str">
        <x:v>第 3 期</x:v>
      </x:c>
      <x:c r="B208" s="13" t="str">
        <x:v>4. 点数与商业化</x:v>
      </x:c>
      <x:c r="C208" s="13" t="str">
        <x:v>BILL-004/005</x:v>
      </x:c>
      <x:c r="D208" s="13" t="str">
        <x:v>订单状态与点数账本API</x:v>
      </x:c>
      <x:c r="E208" s="13" t="str">
        <x:v>BE-ORDER-QUERY-07</x:v>
      </x:c>
      <x:c r="F208" s="13" t="str">
        <x:v>后端</x:v>
      </x:c>
      <x:c r="G208" s="13" t="str">
        <x:v>实现账本游标分页</x:v>
      </x:c>
      <x:c r="H208" s="13" t="str">
        <x:v>created_at+id</x:v>
      </x:c>
      <x:c r="I208" s="13" t="str">
        <x:v>结果稳定无重复</x:v>
      </x:c>
      <x:c r="J208" s="13" t="str">
        <x:v>—</x:v>
      </x:c>
      <x:c r="K208" s="13" t="str">
        <x:v>待完成</x:v>
      </x:c>
      <x:c r="L208" s="13" t="str">
        <x:v>09-16～09-18</x:v>
      </x:c>
      <x:c r="M208" s="13" t="str">
        <x:v>—</x:v>
      </x:c>
      <x:c r="N208" s="13" t="str">
        <x:v>order UUID+后端业务订单号；ledger UUID；Stripe session/payment/event ID；价格版本</x:v>
      </x:c>
      <x:c r="O208" s="13" t="str">
        <x:v>order pending/paid/canceled/expired/failed/refunded；账本不可变</x:v>
      </x:c>
      <x:c r="P208" s="13" t="str">
        <x:v>套餐改价、重复点击、Checkout失败、Webhook重放/乱序/伪造、退款争议</x:v>
      </x:c>
      <x:c r="Q208" s="13" t="str">
        <x:v>用户只读本人订单/账本；仅验签Webhook入账；人工调点需授权</x:v>
      </x:c>
      <x:c r="R208" s="13" t="str">
        <x:v>下单键防重复；Event ID去重；订单行锁原子入账；订单/账本进入导出</x:v>
      </x:c>
    </x:row>
    <x:row r="209" ht="68" customHeight="1">
      <x:c r="A209" s="13" t="str">
        <x:v>第 3 期</x:v>
      </x:c>
      <x:c r="B209" s="13" t="str">
        <x:v>4. 点数与商业化</x:v>
      </x:c>
      <x:c r="C209" s="13" t="str">
        <x:v>BILL-004/005</x:v>
      </x:c>
      <x:c r="D209" s="13" t="str">
        <x:v>订单状态与点数账本API</x:v>
      </x:c>
      <x:c r="E209" s="13" t="str">
        <x:v>BE-ORDER-QUERY-08</x:v>
      </x:c>
      <x:c r="F209" s="13" t="str">
        <x:v>后端</x:v>
      </x:c>
      <x:c r="G209" s="13" t="str">
        <x:v>返回账本关联引用</x:v>
      </x:c>
      <x:c r="H209" s="13" t="str">
        <x:v>业务订单号或任务ID</x:v>
      </x:c>
      <x:c r="I209" s="13" t="str">
        <x:v>用户可理解且不可越权</x:v>
      </x:c>
      <x:c r="J209" s="13" t="str">
        <x:v>—</x:v>
      </x:c>
      <x:c r="K209" s="13" t="str">
        <x:v>待完成</x:v>
      </x:c>
      <x:c r="L209" s="13" t="str">
        <x:v>09-16～09-18</x:v>
      </x:c>
      <x:c r="M209" s="13" t="str">
        <x:v>—</x:v>
      </x:c>
      <x:c r="N209" s="13" t="str">
        <x:v>order UUID+后端业务订单号；ledger UUID；Stripe session/payment/event ID；价格版本</x:v>
      </x:c>
      <x:c r="O209" s="13" t="str">
        <x:v>order pending/paid/canceled/expired/failed/refunded；账本不可变</x:v>
      </x:c>
      <x:c r="P209" s="13" t="str">
        <x:v>套餐改价、重复点击、Checkout失败、Webhook重放/乱序/伪造、退款争议</x:v>
      </x:c>
      <x:c r="Q209" s="13" t="str">
        <x:v>用户只读本人订单/账本；仅验签Webhook入账；人工调点需授权</x:v>
      </x:c>
      <x:c r="R209" s="13" t="str">
        <x:v>下单键防重复；Event ID去重；订单行锁原子入账；订单/账本进入导出</x:v>
      </x:c>
    </x:row>
    <x:row r="210" ht="68" customHeight="1">
      <x:c r="A210" s="13" t="str">
        <x:v>第 3 期</x:v>
      </x:c>
      <x:c r="B210" s="13" t="str">
        <x:v>4. 点数与商业化</x:v>
      </x:c>
      <x:c r="C210" s="13" t="str">
        <x:v>BILL-004/005</x:v>
      </x:c>
      <x:c r="D210" s="13" t="str">
        <x:v>订单状态与点数账本API</x:v>
      </x:c>
      <x:c r="E210" s="13" t="str">
        <x:v>BE-ORDER-QUERY-09</x:v>
      </x:c>
      <x:c r="F210" s="13" t="str">
        <x:v>后端</x:v>
      </x:c>
      <x:c r="G210" s="13" t="str">
        <x:v>定义orders/{orderNumber}和account/credits稳定错误码</x:v>
      </x:c>
      <x:c r="H210" s="13" t="str">
        <x:v>错误枚举和HTTP映射</x:v>
      </x:c>
      <x:c r="I210" s="13" t="str">
        <x:v>前端无需解析内部错误正文</x:v>
      </x:c>
      <x:c r="J210" s="13" t="str">
        <x:v>BE-ORDER-QUERY-02</x:v>
      </x:c>
      <x:c r="K210" s="13" t="str">
        <x:v>待完成</x:v>
      </x:c>
      <x:c r="L210" s="13" t="str">
        <x:v>09-16～09-18</x:v>
      </x:c>
      <x:c r="M210" s="13" t="str">
        <x:v>—</x:v>
      </x:c>
      <x:c r="N210" s="13" t="str">
        <x:v>order UUID+后端业务订单号；ledger UUID；Stripe session/payment/event ID；价格版本</x:v>
      </x:c>
      <x:c r="O210" s="13" t="str">
        <x:v>order pending/paid/canceled/expired/failed/refunded；账本不可变</x:v>
      </x:c>
      <x:c r="P210" s="13" t="str">
        <x:v>套餐改价、重复点击、Checkout失败、Webhook重放/乱序/伪造、退款争议</x:v>
      </x:c>
      <x:c r="Q210" s="13" t="str">
        <x:v>用户只读本人订单/账本；仅验签Webhook入账；人工调点需授权</x:v>
      </x:c>
      <x:c r="R210" s="13" t="str">
        <x:v>下单键防重复；Event ID去重；订单行锁原子入账；订单/账本进入导出</x:v>
      </x:c>
    </x:row>
    <x:row r="211" ht="68" customHeight="1">
      <x:c r="A211" s="13" t="str">
        <x:v>第 3 期</x:v>
      </x:c>
      <x:c r="B211" s="13" t="str">
        <x:v>4. 点数与商业化</x:v>
      </x:c>
      <x:c r="C211" s="13" t="str">
        <x:v>BILL-004/005</x:v>
      </x:c>
      <x:c r="D211" s="13" t="str">
        <x:v>订单状态与点数账本API</x:v>
      </x:c>
      <x:c r="E211" s="13" t="str">
        <x:v>BE-ORDER-QUERY-10</x:v>
      </x:c>
      <x:c r="F211" s="13" t="str">
        <x:v>后端</x:v>
      </x:c>
      <x:c r="G211" s="13" t="str">
        <x:v>编写orders/{orderNumber}和account/credits单元与集成测试</x:v>
      </x:c>
      <x:c r="H211" s="13" t="str">
        <x:v>成功/失败/重复/越权测试</x:v>
      </x:c>
      <x:c r="I211" s="13" t="str">
        <x:v>测试可重复运行且数据库副作用可核对</x:v>
      </x:c>
      <x:c r="J211" s="13" t="str">
        <x:v>—</x:v>
      </x:c>
      <x:c r="K211" s="13" t="str">
        <x:v>待完成</x:v>
      </x:c>
      <x:c r="L211" s="13" t="str">
        <x:v>09-16～09-18</x:v>
      </x:c>
      <x:c r="M211" s="13" t="str">
        <x:v>—</x:v>
      </x:c>
      <x:c r="N211" s="13" t="str">
        <x:v>order UUID+后端业务订单号；ledger UUID；Stripe session/payment/event ID；价格版本</x:v>
      </x:c>
      <x:c r="O211" s="13" t="str">
        <x:v>order pending/paid/canceled/expired/failed/refunded；账本不可变</x:v>
      </x:c>
      <x:c r="P211" s="13" t="str">
        <x:v>套餐改价、重复点击、Checkout失败、Webhook重放/乱序/伪造、退款争议</x:v>
      </x:c>
      <x:c r="Q211" s="13" t="str">
        <x:v>用户只读本人订单/账本；仅验签Webhook入账；人工调点需授权</x:v>
      </x:c>
      <x:c r="R211" s="13" t="str">
        <x:v>下单键防重复；Event ID去重；订单行锁原子入账；订单/账本进入导出</x:v>
      </x:c>
    </x:row>
    <x:row r="212" ht="68" customHeight="1">
      <x:c r="A212" s="13" t="str">
        <x:v>第 3 期</x:v>
      </x:c>
      <x:c r="B212" s="13" t="str">
        <x:v>4. 点数与商业化</x:v>
      </x:c>
      <x:c r="C212" s="13" t="str">
        <x:v>BILL-004/005</x:v>
      </x:c>
      <x:c r="D212" s="13" t="str">
        <x:v>订单状态与点数账本API</x:v>
      </x:c>
      <x:c r="E212" s="13" t="str">
        <x:v>BE-ORDER-QUERY-11</x:v>
      </x:c>
      <x:c r="F212" s="13" t="str">
        <x:v>后端</x:v>
      </x:c>
      <x:c r="G212" s="13" t="str">
        <x:v>更新orders/{orderNumber}和account/credits接口文档</x:v>
      </x:c>
      <x:c r="H212" s="13" t="str">
        <x:v>请求、响应、错误、鉴权和示例</x:v>
      </x:c>
      <x:c r="I212" s="13" t="str">
        <x:v>前端可仅依据文档完成联调</x:v>
      </x:c>
      <x:c r="J212" s="13" t="str">
        <x:v>—</x:v>
      </x:c>
      <x:c r="K212" s="13" t="str">
        <x:v>待完成</x:v>
      </x:c>
      <x:c r="L212" s="13" t="str">
        <x:v>09-16～09-18</x:v>
      </x:c>
      <x:c r="M212" s="13" t="str">
        <x:v>—</x:v>
      </x:c>
      <x:c r="N212" s="13" t="str">
        <x:v>order UUID+后端业务订单号；ledger UUID；Stripe session/payment/event ID；价格版本</x:v>
      </x:c>
      <x:c r="O212" s="13" t="str">
        <x:v>order pending/paid/canceled/expired/failed/refunded；账本不可变</x:v>
      </x:c>
      <x:c r="P212" s="13" t="str">
        <x:v>套餐改价、重复点击、Checkout失败、Webhook重放/乱序/伪造、退款争议</x:v>
      </x:c>
      <x:c r="Q212" s="13" t="str">
        <x:v>用户只读本人订单/账本；仅验签Webhook入账；人工调点需授权</x:v>
      </x:c>
      <x:c r="R212" s="13" t="str">
        <x:v>下单键防重复；Event ID去重；订单行锁原子入账；订单/账本进入导出</x:v>
      </x:c>
    </x:row>
    <x:row r="213" ht="68" customHeight="1">
      <x:c r="A213" s="13" t="str">
        <x:v>第 3 期</x:v>
      </x:c>
      <x:c r="B213" s="13" t="str">
        <x:v>4. 点数与商业化</x:v>
      </x:c>
      <x:c r="C213" s="13" t="str">
        <x:v>BILL-006</x:v>
      </x:c>
      <x:c r="D213" s="13" t="str">
        <x:v>退款与争议</x:v>
      </x:c>
      <x:c r="E213" s="13" t="str">
        <x:v>BE-REFUND-01</x:v>
      </x:c>
      <x:c r="F213" s="13" t="str">
        <x:v>后端</x:v>
      </x:c>
      <x:c r="G213" s="13" t="str">
        <x:v>处理退款Webhook</x:v>
      </x:c>
      <x:c r="H213" s="13" t="str">
        <x:v>退款对象映射订单</x:v>
      </x:c>
      <x:c r="I213" s="13" t="str">
        <x:v>验签和Event去重复用</x:v>
      </x:c>
      <x:c r="J213" s="13" t="str">
        <x:v>—</x:v>
      </x:c>
      <x:c r="K213" s="13" t="str">
        <x:v>待完成</x:v>
      </x:c>
      <x:c r="L213" s="13" t="str">
        <x:v>09-16～09-17</x:v>
      </x:c>
      <x:c r="M213" s="13" t="str">
        <x:v>—</x:v>
      </x:c>
      <x:c r="N213" s="13" t="str">
        <x:v>order UUID+后端业务订单号；ledger UUID；Stripe session/payment/event ID；价格版本</x:v>
      </x:c>
      <x:c r="O213" s="13" t="str">
        <x:v>order pending/paid/canceled/expired/failed/refunded；账本不可变</x:v>
      </x:c>
      <x:c r="P213" s="13" t="str">
        <x:v>套餐改价、重复点击、Checkout失败、Webhook重放/乱序/伪造、退款争议</x:v>
      </x:c>
      <x:c r="Q213" s="13" t="str">
        <x:v>用户只读本人订单/账本；仅验签Webhook入账；人工调点需授权</x:v>
      </x:c>
      <x:c r="R213" s="13" t="str">
        <x:v>下单键防重复；Event ID去重；订单行锁原子入账；订单/账本进入导出</x:v>
      </x:c>
    </x:row>
    <x:row r="214" ht="68" customHeight="1">
      <x:c r="A214" s="13" t="str">
        <x:v>第 3 期</x:v>
      </x:c>
      <x:c r="B214" s="13" t="str">
        <x:v>4. 点数与商业化</x:v>
      </x:c>
      <x:c r="C214" s="13" t="str">
        <x:v>BILL-006</x:v>
      </x:c>
      <x:c r="D214" s="13" t="str">
        <x:v>退款与争议</x:v>
      </x:c>
      <x:c r="E214" s="13" t="str">
        <x:v>BE-REFUND-02</x:v>
      </x:c>
      <x:c r="F214" s="13" t="str">
        <x:v>后端</x:v>
      </x:c>
      <x:c r="G214" s="13" t="str">
        <x:v>更新订单refunded</x:v>
      </x:c>
      <x:c r="H214" s="13" t="str">
        <x:v>退款金额和时间</x:v>
      </x:c>
      <x:c r="I214" s="13" t="str">
        <x:v>重复退款不重复更新</x:v>
      </x:c>
      <x:c r="J214" s="13" t="str">
        <x:v>—</x:v>
      </x:c>
      <x:c r="K214" s="13" t="str">
        <x:v>待完成</x:v>
      </x:c>
      <x:c r="L214" s="13" t="str">
        <x:v>09-16～09-17</x:v>
      </x:c>
      <x:c r="M214" s="13" t="str">
        <x:v>—</x:v>
      </x:c>
      <x:c r="N214" s="13" t="str">
        <x:v>order UUID+后端业务订单号；ledger UUID；Stripe session/payment/event ID；价格版本</x:v>
      </x:c>
      <x:c r="O214" s="13" t="str">
        <x:v>order pending/paid/canceled/expired/failed/refunded；账本不可变</x:v>
      </x:c>
      <x:c r="P214" s="13" t="str">
        <x:v>套餐改价、重复点击、Checkout失败、Webhook重放/乱序/伪造、退款争议</x:v>
      </x:c>
      <x:c r="Q214" s="13" t="str">
        <x:v>用户只读本人订单/账本；仅验签Webhook入账；人工调点需授权</x:v>
      </x:c>
      <x:c r="R214" s="13" t="str">
        <x:v>下单键防重复；Event ID去重；订单行锁原子入账；订单/账本进入导出</x:v>
      </x:c>
    </x:row>
    <x:row r="215" ht="68" customHeight="1">
      <x:c r="A215" s="13" t="str">
        <x:v>第 3 期</x:v>
      </x:c>
      <x:c r="B215" s="13" t="str">
        <x:v>4. 点数与商业化</x:v>
      </x:c>
      <x:c r="C215" s="13" t="str">
        <x:v>BILL-006</x:v>
      </x:c>
      <x:c r="D215" s="13" t="str">
        <x:v>退款与争议</x:v>
      </x:c>
      <x:c r="E215" s="13" t="str">
        <x:v>BE-REFUND-03</x:v>
      </x:c>
      <x:c r="F215" s="13" t="str">
        <x:v>后端</x:v>
      </x:c>
      <x:c r="G215" s="13" t="str">
        <x:v>计算可冲销点数</x:v>
      </x:c>
      <x:c r="H215" s="13" t="str">
        <x:v>购买点数与当前余额规则</x:v>
      </x:c>
      <x:c r="I215" s="13" t="str">
        <x:v>不制造未经审计负余额</x:v>
      </x:c>
      <x:c r="J215" s="13" t="str">
        <x:v>—</x:v>
      </x:c>
      <x:c r="K215" s="13" t="str">
        <x:v>待完成</x:v>
      </x:c>
      <x:c r="L215" s="13" t="str">
        <x:v>09-16～09-17</x:v>
      </x:c>
      <x:c r="M215" s="13" t="str">
        <x:v>—</x:v>
      </x:c>
      <x:c r="N215" s="13" t="str">
        <x:v>order UUID+后端业务订单号；ledger UUID；Stripe session/payment/event ID；价格版本</x:v>
      </x:c>
      <x:c r="O215" s="13" t="str">
        <x:v>order pending/paid/canceled/expired/failed/refunded；账本不可变</x:v>
      </x:c>
      <x:c r="P215" s="13" t="str">
        <x:v>套餐改价、重复点击、Checkout失败、Webhook重放/乱序/伪造、退款争议</x:v>
      </x:c>
      <x:c r="Q215" s="13" t="str">
        <x:v>用户只读本人订单/账本；仅验签Webhook入账；人工调点需授权</x:v>
      </x:c>
      <x:c r="R215" s="13" t="str">
        <x:v>下单键防重复；Event ID去重；订单行锁原子入账；订单/账本进入导出</x:v>
      </x:c>
    </x:row>
    <x:row r="216" ht="68" customHeight="1">
      <x:c r="A216" s="13" t="str">
        <x:v>第 3 期</x:v>
      </x:c>
      <x:c r="B216" s="13" t="str">
        <x:v>4. 点数与商业化</x:v>
      </x:c>
      <x:c r="C216" s="13" t="str">
        <x:v>BILL-006</x:v>
      </x:c>
      <x:c r="D216" s="13" t="str">
        <x:v>退款与争议</x:v>
      </x:c>
      <x:c r="E216" s="13" t="str">
        <x:v>BE-REFUND-04</x:v>
      </x:c>
      <x:c r="F216" s="13" t="str">
        <x:v>后端</x:v>
      </x:c>
      <x:c r="G216" s="13" t="str">
        <x:v>写退款/调整账本</x:v>
      </x:c>
      <x:c r="H216" s="13" t="str">
        <x:v>唯一退款业务键</x:v>
      </x:c>
      <x:c r="I216" s="13" t="str">
        <x:v>余额和账本同事务</x:v>
      </x:c>
      <x:c r="J216" s="13" t="str">
        <x:v>—</x:v>
      </x:c>
      <x:c r="K216" s="13" t="str">
        <x:v>待完成</x:v>
      </x:c>
      <x:c r="L216" s="13" t="str">
        <x:v>09-16～09-17</x:v>
      </x:c>
      <x:c r="M216" s="13" t="str">
        <x:v>—</x:v>
      </x:c>
      <x:c r="N216" s="13" t="str">
        <x:v>order UUID+后端业务订单号；ledger UUID；Stripe session/payment/event ID；价格版本</x:v>
      </x:c>
      <x:c r="O216" s="13" t="str">
        <x:v>order pending/paid/canceled/expired/failed/refunded；账本不可变</x:v>
      </x:c>
      <x:c r="P216" s="13" t="str">
        <x:v>套餐改价、重复点击、Checkout失败、Webhook重放/乱序/伪造、退款争议</x:v>
      </x:c>
      <x:c r="Q216" s="13" t="str">
        <x:v>用户只读本人订单/账本；仅验签Webhook入账；人工调点需授权</x:v>
      </x:c>
      <x:c r="R216" s="13" t="str">
        <x:v>下单键防重复；Event ID去重；订单行锁原子入账；订单/账本进入导出</x:v>
      </x:c>
    </x:row>
    <x:row r="217" ht="68" customHeight="1">
      <x:c r="A217" s="13" t="str">
        <x:v>第 3 期</x:v>
      </x:c>
      <x:c r="B217" s="13" t="str">
        <x:v>4. 点数与商业化</x:v>
      </x:c>
      <x:c r="C217" s="13" t="str">
        <x:v>BILL-006</x:v>
      </x:c>
      <x:c r="D217" s="13" t="str">
        <x:v>退款与争议</x:v>
      </x:c>
      <x:c r="E217" s="13" t="str">
        <x:v>BE-REFUND-05</x:v>
      </x:c>
      <x:c r="F217" s="13" t="str">
        <x:v>后端</x:v>
      </x:c>
      <x:c r="G217" s="13" t="str">
        <x:v>余额不足进入人工处理</x:v>
      </x:c>
      <x:c r="H217" s="13" t="str">
        <x:v>可查询异常状态</x:v>
      </x:c>
      <x:c r="I217" s="13" t="str">
        <x:v>不静默失败</x:v>
      </x:c>
      <x:c r="J217" s="13" t="str">
        <x:v>—</x:v>
      </x:c>
      <x:c r="K217" s="13" t="str">
        <x:v>待完成</x:v>
      </x:c>
      <x:c r="L217" s="13" t="str">
        <x:v>09-16～09-17</x:v>
      </x:c>
      <x:c r="M217" s="13" t="str">
        <x:v>—</x:v>
      </x:c>
      <x:c r="N217" s="13" t="str">
        <x:v>order UUID+后端业务订单号；ledger UUID；Stripe session/payment/event ID；价格版本</x:v>
      </x:c>
      <x:c r="O217" s="13" t="str">
        <x:v>order pending/paid/canceled/expired/failed/refunded；账本不可变</x:v>
      </x:c>
      <x:c r="P217" s="13" t="str">
        <x:v>套餐改价、重复点击、Checkout失败、Webhook重放/乱序/伪造、退款争议</x:v>
      </x:c>
      <x:c r="Q217" s="13" t="str">
        <x:v>用户只读本人订单/账本；仅验签Webhook入账；人工调点需授权</x:v>
      </x:c>
      <x:c r="R217" s="13" t="str">
        <x:v>下单键防重复；Event ID去重；订单行锁原子入账；订单/账本进入导出</x:v>
      </x:c>
    </x:row>
    <x:row r="218" ht="68" customHeight="1">
      <x:c r="A218" s="13" t="str">
        <x:v>第 3 期</x:v>
      </x:c>
      <x:c r="B218" s="13" t="str">
        <x:v>4. 点数与商业化</x:v>
      </x:c>
      <x:c r="C218" s="13" t="str">
        <x:v>BILL-006</x:v>
      </x:c>
      <x:c r="D218" s="13" t="str">
        <x:v>退款与争议</x:v>
      </x:c>
      <x:c r="E218" s="13" t="str">
        <x:v>BE-REFUND-06</x:v>
      </x:c>
      <x:c r="F218" s="13" t="str">
        <x:v>后端</x:v>
      </x:c>
      <x:c r="G218" s="13" t="str">
        <x:v>记录争议审计</x:v>
      </x:c>
      <x:c r="H218" s="13" t="str">
        <x:v>订单、事件、金额、结果</x:v>
      </x:c>
      <x:c r="I218" s="13" t="str">
        <x:v>不记录卡数据</x:v>
      </x:c>
      <x:c r="J218" s="13" t="str">
        <x:v>—</x:v>
      </x:c>
      <x:c r="K218" s="13" t="str">
        <x:v>待完成</x:v>
      </x:c>
      <x:c r="L218" s="13" t="str">
        <x:v>09-16～09-17</x:v>
      </x:c>
      <x:c r="M218" s="13" t="str">
        <x:v>—</x:v>
      </x:c>
      <x:c r="N218" s="13" t="str">
        <x:v>order UUID+后端业务订单号；ledger UUID；Stripe session/payment/event ID；价格版本</x:v>
      </x:c>
      <x:c r="O218" s="13" t="str">
        <x:v>order pending/paid/canceled/expired/failed/refunded；账本不可变</x:v>
      </x:c>
      <x:c r="P218" s="13" t="str">
        <x:v>套餐改价、重复点击、Checkout失败、Webhook重放/乱序/伪造、退款争议</x:v>
      </x:c>
      <x:c r="Q218" s="13" t="str">
        <x:v>用户只读本人订单/账本；仅验签Webhook入账；人工调点需授权</x:v>
      </x:c>
      <x:c r="R218" s="13" t="str">
        <x:v>下单键防重复；Event ID去重；订单行锁原子入账；订单/账本进入导出</x:v>
      </x:c>
    </x:row>
    <x:row r="219" ht="68" customHeight="1">
      <x:c r="A219" s="13" t="str">
        <x:v>第 3 期</x:v>
      </x:c>
      <x:c r="B219" s="13" t="str">
        <x:v>1. 用户、登录与账户</x:v>
      </x:c>
      <x:c r="C219" s="13" t="str">
        <x:v>USER-005</x:v>
      </x:c>
      <x:c r="D219" s="13" t="str">
        <x:v>账户删除状态机</x:v>
      </x:c>
      <x:c r="E219" s="13" t="str">
        <x:v>BE-DELETE-01</x:v>
      </x:c>
      <x:c r="F219" s="13" t="str">
        <x:v>后端</x:v>
      </x:c>
      <x:c r="G219" s="13" t="str">
        <x:v>定义delete-request/revoke请求响应契约</x:v>
      </x:c>
      <x:c r="H219" s="13" t="str">
        <x:v>共享Schema、类型和示例</x:v>
      </x:c>
      <x:c r="I219" s="13" t="str">
        <x:v>合法与非法样例可被自动校验</x:v>
      </x:c>
      <x:c r="J219" s="13" t="str">
        <x:v>—</x:v>
      </x:c>
      <x:c r="K219" s="13" t="str">
        <x:v>待完成</x:v>
      </x:c>
      <x:c r="L219" s="13" t="str">
        <x:v>09-18～09-20</x:v>
      </x:c>
      <x:c r="M219" s="13" t="str">
        <x:v>—</x:v>
      </x:c>
      <x:c r="N219" s="13" t="str">
        <x:v>user_id(UUID)；删除申请ID；数据导出ID；邮箱仅作登录标识</x:v>
      </x:c>
      <x:c r="O219" s="13" t="str">
        <x:v>unverified/active/deletion_pending/deleted；导出queued/processing/ready/failed/expired</x:v>
      </x:c>
      <x:c r="P219" s="13" t="str">
        <x:v>重复注册、会话过期、未验证、活动任务阻止删除、导出过期</x:v>
      </x:c>
      <x:c r="Q219" s="13" t="str">
        <x:v>仅本人访问；高风险操作重新认证；Service Role仅后端</x:v>
      </x:c>
      <x:c r="R219" s="13" t="str">
        <x:v>账户初始化/赠点/删除/导出均幂等；删除宽限30天；导出24小时</x:v>
      </x:c>
    </x:row>
    <x:row r="220" ht="68" customHeight="1">
      <x:c r="A220" s="13" t="str">
        <x:v>第 3 期</x:v>
      </x:c>
      <x:c r="B220" s="13" t="str">
        <x:v>1. 用户、登录与账户</x:v>
      </x:c>
      <x:c r="C220" s="13" t="str">
        <x:v>USER-005</x:v>
      </x:c>
      <x:c r="D220" s="13" t="str">
        <x:v>账户删除状态机</x:v>
      </x:c>
      <x:c r="E220" s="13" t="str">
        <x:v>BE-DELETE-02</x:v>
      </x:c>
      <x:c r="F220" s="13" t="str">
        <x:v>后端</x:v>
      </x:c>
      <x:c r="G220" s="13" t="str">
        <x:v>实现delete-request/revoke输入校验</x:v>
      </x:c>
      <x:c r="H220" s="13" t="str">
        <x:v>边界校验与字段规范化</x:v>
      </x:c>
      <x:c r="I220" s="13" t="str">
        <x:v>非法输入在副作用前返回稳定400错误</x:v>
      </x:c>
      <x:c r="J220" s="13" t="str">
        <x:v>BE-DELETE-01</x:v>
      </x:c>
      <x:c r="K220" s="13" t="str">
        <x:v>待完成</x:v>
      </x:c>
      <x:c r="L220" s="13" t="str">
        <x:v>09-18～09-20</x:v>
      </x:c>
      <x:c r="M220" s="13" t="str">
        <x:v>—</x:v>
      </x:c>
      <x:c r="N220" s="13" t="str">
        <x:v>user_id(UUID)；删除申请ID；数据导出ID；邮箱仅作登录标识</x:v>
      </x:c>
      <x:c r="O220" s="13" t="str">
        <x:v>unverified/active/deletion_pending/deleted；导出queued/processing/ready/failed/expired</x:v>
      </x:c>
      <x:c r="P220" s="13" t="str">
        <x:v>重复注册、会话过期、未验证、活动任务阻止删除、导出过期</x:v>
      </x:c>
      <x:c r="Q220" s="13" t="str">
        <x:v>仅本人访问；高风险操作重新认证；Service Role仅后端</x:v>
      </x:c>
      <x:c r="R220" s="13" t="str">
        <x:v>账户初始化/赠点/删除/导出均幂等；删除宽限30天；导出24小时</x:v>
      </x:c>
    </x:row>
    <x:row r="221" ht="68" customHeight="1">
      <x:c r="A221" s="13" t="str">
        <x:v>第 3 期</x:v>
      </x:c>
      <x:c r="B221" s="13" t="str">
        <x:v>1. 用户、登录与账户</x:v>
      </x:c>
      <x:c r="C221" s="13" t="str">
        <x:v>USER-005</x:v>
      </x:c>
      <x:c r="D221" s="13" t="str">
        <x:v>账户删除状态机</x:v>
      </x:c>
      <x:c r="E221" s="13" t="str">
        <x:v>BE-DELETE-03</x:v>
      </x:c>
      <x:c r="F221" s="13" t="str">
        <x:v>后端</x:v>
      </x:c>
      <x:c r="G221" s="13" t="str">
        <x:v>实现delete-request/revoke身份与权限校验</x:v>
      </x:c>
      <x:c r="H221" s="13" t="str">
        <x:v>服务端鉴权和所有权检查</x:v>
      </x:c>
      <x:c r="I221" s="13" t="str">
        <x:v>未登录401；越权按规则403或404</x:v>
      </x:c>
      <x:c r="J221" s="13" t="str">
        <x:v>BE-DELETE-01</x:v>
      </x:c>
      <x:c r="K221" s="13" t="str">
        <x:v>已完成</x:v>
      </x:c>
      <x:c r="L221" s="13" t="str">
        <x:v>09-18～09-20</x:v>
      </x:c>
      <x:c r="M221" s="13" t="str">
        <x:v>2026-08-20</x:v>
      </x:c>
      <x:c r="N221" s="13" t="str">
        <x:v>user_id(UUID)；删除申请ID；数据导出ID；邮箱仅作登录标识</x:v>
      </x:c>
      <x:c r="O221" s="13" t="str">
        <x:v>unverified/active/deletion_pending/deleted；导出queued/processing/ready/failed/expired</x:v>
      </x:c>
      <x:c r="P221" s="13" t="str">
        <x:v>重复注册、会话过期、未验证、活动任务阻止删除、导出过期</x:v>
      </x:c>
      <x:c r="Q221" s="13" t="str">
        <x:v>仅本人访问；高风险操作重新认证；Service Role仅后端</x:v>
      </x:c>
      <x:c r="R221" s="13" t="str">
        <x:v>账户初始化/赠点/删除/导出均幂等；删除宽限30天；导出24小时</x:v>
      </x:c>
    </x:row>
    <x:row r="222" ht="68" customHeight="1">
      <x:c r="A222" s="13" t="str">
        <x:v>第 3 期</x:v>
      </x:c>
      <x:c r="B222" s="13" t="str">
        <x:v>1. 用户、登录与账户</x:v>
      </x:c>
      <x:c r="C222" s="13" t="str">
        <x:v>USER-005</x:v>
      </x:c>
      <x:c r="D222" s="13" t="str">
        <x:v>账户删除状态机</x:v>
      </x:c>
      <x:c r="E222" s="13" t="str">
        <x:v>BE-DELETE-04</x:v>
      </x:c>
      <x:c r="F222" s="13" t="str">
        <x:v>后端</x:v>
      </x:c>
      <x:c r="G222" s="13" t="str">
        <x:v>验证近期重新认证</x:v>
      </x:c>
      <x:c r="H222" s="13" t="str">
        <x:v>auth_time阈值</x:v>
      </x:c>
      <x:c r="I222" s="13" t="str">
        <x:v>过期会话返回REAUTH_REQUIRED</x:v>
      </x:c>
      <x:c r="J222" s="13" t="str">
        <x:v>—</x:v>
      </x:c>
      <x:c r="K222" s="13" t="str">
        <x:v>待完成</x:v>
      </x:c>
      <x:c r="L222" s="13" t="str">
        <x:v>09-18～09-20</x:v>
      </x:c>
      <x:c r="M222" s="13" t="str">
        <x:v>—</x:v>
      </x:c>
      <x:c r="N222" s="13" t="str">
        <x:v>user_id(UUID)；删除申请ID；数据导出ID；邮箱仅作登录标识</x:v>
      </x:c>
      <x:c r="O222" s="13" t="str">
        <x:v>unverified/active/deletion_pending/deleted；导出queued/processing/ready/failed/expired</x:v>
      </x:c>
      <x:c r="P222" s="13" t="str">
        <x:v>重复注册、会话过期、未验证、活动任务阻止删除、导出过期</x:v>
      </x:c>
      <x:c r="Q222" s="13" t="str">
        <x:v>仅本人访问；高风险操作重新认证；Service Role仅后端</x:v>
      </x:c>
      <x:c r="R222" s="13" t="str">
        <x:v>账户初始化/赠点/删除/导出均幂等；删除宽限30天；导出24小时</x:v>
      </x:c>
    </x:row>
    <x:row r="223" ht="68" customHeight="1">
      <x:c r="A223" s="13" t="str">
        <x:v>第 3 期</x:v>
      </x:c>
      <x:c r="B223" s="13" t="str">
        <x:v>1. 用户、登录与账户</x:v>
      </x:c>
      <x:c r="C223" s="13" t="str">
        <x:v>USER-005</x:v>
      </x:c>
      <x:c r="D223" s="13" t="str">
        <x:v>账户删除状态机</x:v>
      </x:c>
      <x:c r="E223" s="13" t="str">
        <x:v>BE-DELETE-05</x:v>
      </x:c>
      <x:c r="F223" s="13" t="str">
        <x:v>后端</x:v>
      </x:c>
      <x:c r="G223" s="13" t="str">
        <x:v>检查活动生成任务</x:v>
      </x:c>
      <x:c r="H223" s="13" t="str">
        <x:v>queued/processing查询</x:v>
      </x:c>
      <x:c r="I223" s="13" t="str">
        <x:v>存在任务拒绝删除</x:v>
      </x:c>
      <x:c r="J223" s="13" t="str">
        <x:v>—</x:v>
      </x:c>
      <x:c r="K223" s="13" t="str">
        <x:v>已完成</x:v>
      </x:c>
      <x:c r="L223" s="13" t="str">
        <x:v>09-18～09-20</x:v>
      </x:c>
      <x:c r="M223" s="13" t="str">
        <x:v>2026-08-20</x:v>
      </x:c>
      <x:c r="N223" s="13" t="str">
        <x:v>user_id(UUID)；删除申请ID；数据导出ID；邮箱仅作登录标识</x:v>
      </x:c>
      <x:c r="O223" s="13" t="str">
        <x:v>unverified/active/deletion_pending/deleted；导出queued/processing/ready/failed/expired</x:v>
      </x:c>
      <x:c r="P223" s="13" t="str">
        <x:v>重复注册、会话过期、未验证、活动任务阻止删除、导出过期</x:v>
      </x:c>
      <x:c r="Q223" s="13" t="str">
        <x:v>仅本人访问；高风险操作重新认证；Service Role仅后端</x:v>
      </x:c>
      <x:c r="R223" s="13" t="str">
        <x:v>账户初始化/赠点/删除/导出均幂等；删除宽限30天；导出24小时</x:v>
      </x:c>
    </x:row>
    <x:row r="224" ht="68" customHeight="1">
      <x:c r="A224" s="13" t="str">
        <x:v>第 3 期</x:v>
      </x:c>
      <x:c r="B224" s="13" t="str">
        <x:v>1. 用户、登录与账户</x:v>
      </x:c>
      <x:c r="C224" s="13" t="str">
        <x:v>USER-005</x:v>
      </x:c>
      <x:c r="D224" s="13" t="str">
        <x:v>账户删除状态机</x:v>
      </x:c>
      <x:c r="E224" s="13" t="str">
        <x:v>BE-DELETE-06</x:v>
      </x:c>
      <x:c r="F224" s="13" t="str">
        <x:v>后端</x:v>
      </x:c>
      <x:c r="G224" s="13" t="str">
        <x:v>幂等创建删除申请</x:v>
      </x:c>
      <x:c r="H224" s="13" t="str">
        <x:v>每用户一个active request</x:v>
      </x:c>
      <x:c r="I224" s="13" t="str">
        <x:v>重复提交返回原截止时间</x:v>
      </x:c>
      <x:c r="J224" s="13" t="str">
        <x:v>—</x:v>
      </x:c>
      <x:c r="K224" s="13" t="str">
        <x:v>已完成</x:v>
      </x:c>
      <x:c r="L224" s="13" t="str">
        <x:v>09-18～09-20</x:v>
      </x:c>
      <x:c r="M224" s="13" t="str">
        <x:v>2026-08-20</x:v>
      </x:c>
      <x:c r="N224" s="13" t="str">
        <x:v>user_id(UUID)；删除申请ID；数据导出ID；邮箱仅作登录标识</x:v>
      </x:c>
      <x:c r="O224" s="13" t="str">
        <x:v>unverified/active/deletion_pending/deleted；导出queued/processing/ready/failed/expired</x:v>
      </x:c>
      <x:c r="P224" s="13" t="str">
        <x:v>重复注册、会话过期、未验证、活动任务阻止删除、导出过期</x:v>
      </x:c>
      <x:c r="Q224" s="13" t="str">
        <x:v>仅本人访问；高风险操作重新认证；Service Role仅后端</x:v>
      </x:c>
      <x:c r="R224" s="13" t="str">
        <x:v>账户初始化/赠点/删除/导出均幂等；删除宽限30天；导出24小时</x:v>
      </x:c>
    </x:row>
    <x:row r="225" ht="68" customHeight="1">
      <x:c r="A225" s="13" t="str">
        <x:v>第 3 期</x:v>
      </x:c>
      <x:c r="B225" s="13" t="str">
        <x:v>1. 用户、登录与账户</x:v>
      </x:c>
      <x:c r="C225" s="13" t="str">
        <x:v>USER-005</x:v>
      </x:c>
      <x:c r="D225" s="13" t="str">
        <x:v>账户删除状态机</x:v>
      </x:c>
      <x:c r="E225" s="13" t="str">
        <x:v>BE-DELETE-07</x:v>
      </x:c>
      <x:c r="F225" s="13" t="str">
        <x:v>后端</x:v>
      </x:c>
      <x:c r="G225" s="13" t="str">
        <x:v>设置deletion_pending</x:v>
      </x:c>
      <x:c r="H225" s="13" t="str">
        <x:v>账户状态和scheduledDeletionAt</x:v>
      </x:c>
      <x:c r="I225" s="13" t="str">
        <x:v>禁止新生成和支付</x:v>
      </x:c>
      <x:c r="J225" s="13" t="str">
        <x:v>—</x:v>
      </x:c>
      <x:c r="K225" s="13" t="str">
        <x:v>已完成</x:v>
      </x:c>
      <x:c r="L225" s="13" t="str">
        <x:v>09-18～09-20</x:v>
      </x:c>
      <x:c r="M225" s="13" t="str">
        <x:v>2026-08-20</x:v>
      </x:c>
      <x:c r="N225" s="13" t="str">
        <x:v>user_id(UUID)；删除申请ID；数据导出ID；邮箱仅作登录标识</x:v>
      </x:c>
      <x:c r="O225" s="13" t="str">
        <x:v>unverified/active/deletion_pending/deleted；导出queued/processing/ready/failed/expired</x:v>
      </x:c>
      <x:c r="P225" s="13" t="str">
        <x:v>重复注册、会话过期、未验证、活动任务阻止删除、导出过期</x:v>
      </x:c>
      <x:c r="Q225" s="13" t="str">
        <x:v>仅本人访问；高风险操作重新认证；Service Role仅后端</x:v>
      </x:c>
      <x:c r="R225" s="13" t="str">
        <x:v>账户初始化/赠点/删除/导出均幂等；删除宽限30天；导出24小时</x:v>
      </x:c>
    </x:row>
    <x:row r="226" ht="68" customHeight="1">
      <x:c r="A226" s="13" t="str">
        <x:v>第 3 期</x:v>
      </x:c>
      <x:c r="B226" s="13" t="str">
        <x:v>1. 用户、登录与账户</x:v>
      </x:c>
      <x:c r="C226" s="13" t="str">
        <x:v>USER-005</x:v>
      </x:c>
      <x:c r="D226" s="13" t="str">
        <x:v>账户删除状态机</x:v>
      </x:c>
      <x:c r="E226" s="13" t="str">
        <x:v>BE-DELETE-08</x:v>
      </x:c>
      <x:c r="F226" s="13" t="str">
        <x:v>后端</x:v>
      </x:c>
      <x:c r="G226" s="13" t="str">
        <x:v>实现宽限期撤销</x:v>
      </x:c>
      <x:c r="H226" s="13" t="str">
        <x:v>恢复active并记录撤销时间</x:v>
      </x:c>
      <x:c r="I226" s="13" t="str">
        <x:v>过期后不可撤销</x:v>
      </x:c>
      <x:c r="J226" s="13" t="str">
        <x:v>—</x:v>
      </x:c>
      <x:c r="K226" s="13" t="str">
        <x:v>已完成</x:v>
      </x:c>
      <x:c r="L226" s="13" t="str">
        <x:v>09-18～09-20</x:v>
      </x:c>
      <x:c r="M226" s="13" t="str">
        <x:v>2026-08-20</x:v>
      </x:c>
      <x:c r="N226" s="13" t="str">
        <x:v>user_id(UUID)；删除申请ID；数据导出ID；邮箱仅作登录标识</x:v>
      </x:c>
      <x:c r="O226" s="13" t="str">
        <x:v>unverified/active/deletion_pending/deleted；导出queued/processing/ready/failed/expired</x:v>
      </x:c>
      <x:c r="P226" s="13" t="str">
        <x:v>重复注册、会话过期、未验证、活动任务阻止删除、导出过期</x:v>
      </x:c>
      <x:c r="Q226" s="13" t="str">
        <x:v>仅本人访问；高风险操作重新认证；Service Role仅后端</x:v>
      </x:c>
      <x:c r="R226" s="13" t="str">
        <x:v>账户初始化/赠点/删除/导出均幂等；删除宽限30天；导出24小时</x:v>
      </x:c>
    </x:row>
    <x:row r="227" ht="68" customHeight="1">
      <x:c r="A227" s="13" t="str">
        <x:v>第 3 期</x:v>
      </x:c>
      <x:c r="B227" s="13" t="str">
        <x:v>1. 用户、登录与账户</x:v>
      </x:c>
      <x:c r="C227" s="13" t="str">
        <x:v>USER-005</x:v>
      </x:c>
      <x:c r="D227" s="13" t="str">
        <x:v>账户删除状态机</x:v>
      </x:c>
      <x:c r="E227" s="13" t="str">
        <x:v>BE-DELETE-09</x:v>
      </x:c>
      <x:c r="F227" s="13" t="str">
        <x:v>后端</x:v>
      </x:c>
      <x:c r="G227" s="13" t="str">
        <x:v>实现到期清理任务</x:v>
      </x:c>
      <x:c r="H227" s="13" t="str">
        <x:v>按计划删除/匿名化</x:v>
      </x:c>
      <x:c r="I227" s="13" t="str">
        <x:v>可重入且旧会话失效</x:v>
      </x:c>
      <x:c r="J227" s="13" t="str">
        <x:v>—</x:v>
      </x:c>
      <x:c r="K227" s="13" t="str">
        <x:v>待完成</x:v>
      </x:c>
      <x:c r="L227" s="13" t="str">
        <x:v>09-18～09-20</x:v>
      </x:c>
      <x:c r="M227" s="13" t="str">
        <x:v>—</x:v>
      </x:c>
      <x:c r="N227" s="13" t="str">
        <x:v>user_id(UUID)；删除申请ID；数据导出ID；邮箱仅作登录标识</x:v>
      </x:c>
      <x:c r="O227" s="13" t="str">
        <x:v>unverified/active/deletion_pending/deleted；导出queued/processing/ready/failed/expired</x:v>
      </x:c>
      <x:c r="P227" s="13" t="str">
        <x:v>重复注册、会话过期、未验证、活动任务阻止删除、导出过期</x:v>
      </x:c>
      <x:c r="Q227" s="13" t="str">
        <x:v>仅本人访问；高风险操作重新认证；Service Role仅后端</x:v>
      </x:c>
      <x:c r="R227" s="13" t="str">
        <x:v>账户初始化/赠点/删除/导出均幂等；删除宽限30天；导出24小时</x:v>
      </x:c>
    </x:row>
    <x:row r="228" ht="68" customHeight="1">
      <x:c r="A228" s="13" t="str">
        <x:v>第 3 期</x:v>
      </x:c>
      <x:c r="B228" s="13" t="str">
        <x:v>1. 用户、登录与账户</x:v>
      </x:c>
      <x:c r="C228" s="13" t="str">
        <x:v>USER-005</x:v>
      </x:c>
      <x:c r="D228" s="13" t="str">
        <x:v>账户删除状态机</x:v>
      </x:c>
      <x:c r="E228" s="13" t="str">
        <x:v>BE-DELETE-10</x:v>
      </x:c>
      <x:c r="F228" s="13" t="str">
        <x:v>后端</x:v>
      </x:c>
      <x:c r="G228" s="13" t="str">
        <x:v>记录删除审计</x:v>
      </x:c>
      <x:c r="H228" s="13" t="str">
        <x:v>申请/撤销/执行事件</x:v>
      </x:c>
      <x:c r="I228" s="13" t="str">
        <x:v>不含导出内容</x:v>
      </x:c>
      <x:c r="J228" s="13" t="str">
        <x:v>—</x:v>
      </x:c>
      <x:c r="K228" s="13" t="str">
        <x:v>已完成</x:v>
      </x:c>
      <x:c r="L228" s="13" t="str">
        <x:v>09-18～09-20</x:v>
      </x:c>
      <x:c r="M228" s="13" t="str">
        <x:v>2026-08-20</x:v>
      </x:c>
      <x:c r="N228" s="13" t="str">
        <x:v>user_id(UUID)；删除申请ID；数据导出ID；邮箱仅作登录标识</x:v>
      </x:c>
      <x:c r="O228" s="13" t="str">
        <x:v>unverified/active/deletion_pending/deleted；导出queued/processing/ready/failed/expired</x:v>
      </x:c>
      <x:c r="P228" s="13" t="str">
        <x:v>重复注册、会话过期、未验证、活动任务阻止删除、导出过期</x:v>
      </x:c>
      <x:c r="Q228" s="13" t="str">
        <x:v>仅本人访问；高风险操作重新认证；Service Role仅后端</x:v>
      </x:c>
      <x:c r="R228" s="13" t="str">
        <x:v>账户初始化/赠点/删除/导出均幂等；删除宽限30天；导出24小时</x:v>
      </x:c>
    </x:row>
    <x:row r="229" ht="68" customHeight="1">
      <x:c r="A229" s="13" t="str">
        <x:v>第 3 期</x:v>
      </x:c>
      <x:c r="B229" s="13" t="str">
        <x:v>1. 用户、登录与账户</x:v>
      </x:c>
      <x:c r="C229" s="13" t="str">
        <x:v>USER-005</x:v>
      </x:c>
      <x:c r="D229" s="13" t="str">
        <x:v>账户删除状态机</x:v>
      </x:c>
      <x:c r="E229" s="13" t="str">
        <x:v>BE-DELETE-11</x:v>
      </x:c>
      <x:c r="F229" s="13" t="str">
        <x:v>后端</x:v>
      </x:c>
      <x:c r="G229" s="13" t="str">
        <x:v>定义delete-request/revoke稳定错误码</x:v>
      </x:c>
      <x:c r="H229" s="13" t="str">
        <x:v>错误枚举和HTTP映射</x:v>
      </x:c>
      <x:c r="I229" s="13" t="str">
        <x:v>前端无需解析内部错误正文</x:v>
      </x:c>
      <x:c r="J229" s="13" t="str">
        <x:v>BE-DELETE-02</x:v>
      </x:c>
      <x:c r="K229" s="13" t="str">
        <x:v>待完成</x:v>
      </x:c>
      <x:c r="L229" s="13" t="str">
        <x:v>09-18～09-20</x:v>
      </x:c>
      <x:c r="M229" s="13" t="str">
        <x:v>—</x:v>
      </x:c>
      <x:c r="N229" s="13" t="str">
        <x:v>user_id(UUID)；删除申请ID；数据导出ID；邮箱仅作登录标识</x:v>
      </x:c>
      <x:c r="O229" s="13" t="str">
        <x:v>unverified/active/deletion_pending/deleted；导出queued/processing/ready/failed/expired</x:v>
      </x:c>
      <x:c r="P229" s="13" t="str">
        <x:v>重复注册、会话过期、未验证、活动任务阻止删除、导出过期</x:v>
      </x:c>
      <x:c r="Q229" s="13" t="str">
        <x:v>仅本人访问；高风险操作重新认证；Service Role仅后端</x:v>
      </x:c>
      <x:c r="R229" s="13" t="str">
        <x:v>账户初始化/赠点/删除/导出均幂等；删除宽限30天；导出24小时</x:v>
      </x:c>
    </x:row>
    <x:row r="230" ht="68" customHeight="1">
      <x:c r="A230" s="13" t="str">
        <x:v>第 3 期</x:v>
      </x:c>
      <x:c r="B230" s="13" t="str">
        <x:v>1. 用户、登录与账户</x:v>
      </x:c>
      <x:c r="C230" s="13" t="str">
        <x:v>USER-005</x:v>
      </x:c>
      <x:c r="D230" s="13" t="str">
        <x:v>账户删除状态机</x:v>
      </x:c>
      <x:c r="E230" s="13" t="str">
        <x:v>BE-DELETE-12</x:v>
      </x:c>
      <x:c r="F230" s="13" t="str">
        <x:v>后端</x:v>
      </x:c>
      <x:c r="G230" s="13" t="str">
        <x:v>编写delete-request/revoke单元与集成测试</x:v>
      </x:c>
      <x:c r="H230" s="13" t="str">
        <x:v>成功/失败/重复/越权测试</x:v>
      </x:c>
      <x:c r="I230" s="13" t="str">
        <x:v>测试可重复运行且数据库副作用可核对</x:v>
      </x:c>
      <x:c r="J230" s="13" t="str">
        <x:v>—</x:v>
      </x:c>
      <x:c r="K230" s="13" t="str">
        <x:v>待完成</x:v>
      </x:c>
      <x:c r="L230" s="13" t="str">
        <x:v>09-18～09-20</x:v>
      </x:c>
      <x:c r="M230" s="13" t="str">
        <x:v>—</x:v>
      </x:c>
      <x:c r="N230" s="13" t="str">
        <x:v>user_id(UUID)；删除申请ID；数据导出ID；邮箱仅作登录标识</x:v>
      </x:c>
      <x:c r="O230" s="13" t="str">
        <x:v>unverified/active/deletion_pending/deleted；导出queued/processing/ready/failed/expired</x:v>
      </x:c>
      <x:c r="P230" s="13" t="str">
        <x:v>重复注册、会话过期、未验证、活动任务阻止删除、导出过期</x:v>
      </x:c>
      <x:c r="Q230" s="13" t="str">
        <x:v>仅本人访问；高风险操作重新认证；Service Role仅后端</x:v>
      </x:c>
      <x:c r="R230" s="13" t="str">
        <x:v>账户初始化/赠点/删除/导出均幂等；删除宽限30天；导出24小时</x:v>
      </x:c>
    </x:row>
    <x:row r="231" ht="68" customHeight="1">
      <x:c r="A231" s="13" t="str">
        <x:v>第 3 期</x:v>
      </x:c>
      <x:c r="B231" s="13" t="str">
        <x:v>1. 用户、登录与账户</x:v>
      </x:c>
      <x:c r="C231" s="13" t="str">
        <x:v>USER-005</x:v>
      </x:c>
      <x:c r="D231" s="13" t="str">
        <x:v>账户删除状态机</x:v>
      </x:c>
      <x:c r="E231" s="13" t="str">
        <x:v>BE-DELETE-13</x:v>
      </x:c>
      <x:c r="F231" s="13" t="str">
        <x:v>后端</x:v>
      </x:c>
      <x:c r="G231" s="13" t="str">
        <x:v>更新delete-request/revoke接口文档</x:v>
      </x:c>
      <x:c r="H231" s="13" t="str">
        <x:v>请求、响应、错误、鉴权和示例</x:v>
      </x:c>
      <x:c r="I231" s="13" t="str">
        <x:v>前端可仅依据文档完成联调</x:v>
      </x:c>
      <x:c r="J231" s="13" t="str">
        <x:v>—</x:v>
      </x:c>
      <x:c r="K231" s="13" t="str">
        <x:v>待完成</x:v>
      </x:c>
      <x:c r="L231" s="13" t="str">
        <x:v>09-18～09-20</x:v>
      </x:c>
      <x:c r="M231" s="13" t="str">
        <x:v>—</x:v>
      </x:c>
      <x:c r="N231" s="13" t="str">
        <x:v>user_id(UUID)；删除申请ID；数据导出ID；邮箱仅作登录标识</x:v>
      </x:c>
      <x:c r="O231" s="13" t="str">
        <x:v>unverified/active/deletion_pending/deleted；导出queued/processing/ready/failed/expired</x:v>
      </x:c>
      <x:c r="P231" s="13" t="str">
        <x:v>重复注册、会话过期、未验证、活动任务阻止删除、导出过期</x:v>
      </x:c>
      <x:c r="Q231" s="13" t="str">
        <x:v>仅本人访问；高风险操作重新认证；Service Role仅后端</x:v>
      </x:c>
      <x:c r="R231" s="13" t="str">
        <x:v>账户初始化/赠点/删除/导出均幂等；删除宽限30天；导出24小时</x:v>
      </x:c>
    </x:row>
    <x:row r="232" ht="68" customHeight="1">
      <x:c r="A232" s="13" t="str">
        <x:v>第 3 期</x:v>
      </x:c>
      <x:c r="B232" s="13" t="str">
        <x:v>1. 用户、登录与账户</x:v>
      </x:c>
      <x:c r="C232" s="13" t="str">
        <x:v>USER-006</x:v>
      </x:c>
      <x:c r="D232" s="13" t="str">
        <x:v>个人数据导出</x:v>
      </x:c>
      <x:c r="E232" s="13" t="str">
        <x:v>BE-EXPORT-01</x:v>
      </x:c>
      <x:c r="F232" s="13" t="str">
        <x:v>后端</x:v>
      </x:c>
      <x:c r="G232" s="13" t="str">
        <x:v>定义account/data-export请求响应契约</x:v>
      </x:c>
      <x:c r="H232" s="13" t="str">
        <x:v>共享Schema、类型和示例</x:v>
      </x:c>
      <x:c r="I232" s="13" t="str">
        <x:v>合法与非法样例可被自动校验</x:v>
      </x:c>
      <x:c r="J232" s="13" t="str">
        <x:v>—</x:v>
      </x:c>
      <x:c r="K232" s="13" t="str">
        <x:v>待完成</x:v>
      </x:c>
      <x:c r="L232" s="13" t="str">
        <x:v>09-19～09-21</x:v>
      </x:c>
      <x:c r="M232" s="13" t="str">
        <x:v>—</x:v>
      </x:c>
      <x:c r="N232" s="13" t="str">
        <x:v>user_id(UUID)；删除申请ID；数据导出ID；邮箱仅作登录标识</x:v>
      </x:c>
      <x:c r="O232" s="13" t="str">
        <x:v>unverified/active/deletion_pending/deleted；导出queued/processing/ready/failed/expired</x:v>
      </x:c>
      <x:c r="P232" s="13" t="str">
        <x:v>重复注册、会话过期、未验证、活动任务阻止删除、导出过期</x:v>
      </x:c>
      <x:c r="Q232" s="13" t="str">
        <x:v>仅本人访问；高风险操作重新认证；Service Role仅后端</x:v>
      </x:c>
      <x:c r="R232" s="13" t="str">
        <x:v>账户初始化/赠点/删除/导出均幂等；删除宽限30天；导出24小时</x:v>
      </x:c>
    </x:row>
    <x:row r="233" ht="68" customHeight="1">
      <x:c r="A233" s="13" t="str">
        <x:v>第 3 期</x:v>
      </x:c>
      <x:c r="B233" s="13" t="str">
        <x:v>1. 用户、登录与账户</x:v>
      </x:c>
      <x:c r="C233" s="13" t="str">
        <x:v>USER-006</x:v>
      </x:c>
      <x:c r="D233" s="13" t="str">
        <x:v>个人数据导出</x:v>
      </x:c>
      <x:c r="E233" s="13" t="str">
        <x:v>BE-EXPORT-02</x:v>
      </x:c>
      <x:c r="F233" s="13" t="str">
        <x:v>后端</x:v>
      </x:c>
      <x:c r="G233" s="13" t="str">
        <x:v>实现account/data-export输入校验</x:v>
      </x:c>
      <x:c r="H233" s="13" t="str">
        <x:v>边界校验与字段规范化</x:v>
      </x:c>
      <x:c r="I233" s="13" t="str">
        <x:v>非法输入在副作用前返回稳定400错误</x:v>
      </x:c>
      <x:c r="J233" s="13" t="str">
        <x:v>BE-EXPORT-01</x:v>
      </x:c>
      <x:c r="K233" s="13" t="str">
        <x:v>待完成</x:v>
      </x:c>
      <x:c r="L233" s="13" t="str">
        <x:v>09-19～09-21</x:v>
      </x:c>
      <x:c r="M233" s="13" t="str">
        <x:v>—</x:v>
      </x:c>
      <x:c r="N233" s="13" t="str">
        <x:v>user_id(UUID)；删除申请ID；数据导出ID；邮箱仅作登录标识</x:v>
      </x:c>
      <x:c r="O233" s="13" t="str">
        <x:v>unverified/active/deletion_pending/deleted；导出queued/processing/ready/failed/expired</x:v>
      </x:c>
      <x:c r="P233" s="13" t="str">
        <x:v>重复注册、会话过期、未验证、活动任务阻止删除、导出过期</x:v>
      </x:c>
      <x:c r="Q233" s="13" t="str">
        <x:v>仅本人访问；高风险操作重新认证；Service Role仅后端</x:v>
      </x:c>
      <x:c r="R233" s="13" t="str">
        <x:v>账户初始化/赠点/删除/导出均幂等；删除宽限30天；导出24小时</x:v>
      </x:c>
    </x:row>
    <x:row r="234" ht="68" customHeight="1">
      <x:c r="A234" s="13" t="str">
        <x:v>第 3 期</x:v>
      </x:c>
      <x:c r="B234" s="13" t="str">
        <x:v>1. 用户、登录与账户</x:v>
      </x:c>
      <x:c r="C234" s="13" t="str">
        <x:v>USER-006</x:v>
      </x:c>
      <x:c r="D234" s="13" t="str">
        <x:v>个人数据导出</x:v>
      </x:c>
      <x:c r="E234" s="13" t="str">
        <x:v>BE-EXPORT-03</x:v>
      </x:c>
      <x:c r="F234" s="13" t="str">
        <x:v>后端</x:v>
      </x:c>
      <x:c r="G234" s="13" t="str">
        <x:v>实现account/data-export身份与权限校验</x:v>
      </x:c>
      <x:c r="H234" s="13" t="str">
        <x:v>服务端鉴权和所有权检查</x:v>
      </x:c>
      <x:c r="I234" s="13" t="str">
        <x:v>未登录401；越权按规则403或404</x:v>
      </x:c>
      <x:c r="J234" s="13" t="str">
        <x:v>BE-EXPORT-01</x:v>
      </x:c>
      <x:c r="K234" s="13" t="str">
        <x:v>已完成</x:v>
      </x:c>
      <x:c r="L234" s="13" t="str">
        <x:v>09-19～09-21</x:v>
      </x:c>
      <x:c r="M234" s="13" t="str">
        <x:v>2026-08-20</x:v>
      </x:c>
      <x:c r="N234" s="13" t="str">
        <x:v>user_id(UUID)；删除申请ID；数据导出ID；邮箱仅作登录标识</x:v>
      </x:c>
      <x:c r="O234" s="13" t="str">
        <x:v>unverified/active/deletion_pending/deleted；导出queued/processing/ready/failed/expired</x:v>
      </x:c>
      <x:c r="P234" s="13" t="str">
        <x:v>重复注册、会话过期、未验证、活动任务阻止删除、导出过期</x:v>
      </x:c>
      <x:c r="Q234" s="13" t="str">
        <x:v>仅本人访问；高风险操作重新认证；Service Role仅后端</x:v>
      </x:c>
      <x:c r="R234" s="13" t="str">
        <x:v>账户初始化/赠点/删除/导出均幂等；删除宽限30天；导出24小时</x:v>
      </x:c>
    </x:row>
    <x:row r="235" ht="68" customHeight="1">
      <x:c r="A235" s="13" t="str">
        <x:v>第 3 期</x:v>
      </x:c>
      <x:c r="B235" s="13" t="str">
        <x:v>1. 用户、登录与账户</x:v>
      </x:c>
      <x:c r="C235" s="13" t="str">
        <x:v>USER-006</x:v>
      </x:c>
      <x:c r="D235" s="13" t="str">
        <x:v>个人数据导出</x:v>
      </x:c>
      <x:c r="E235" s="13" t="str">
        <x:v>BE-EXPORT-04</x:v>
      </x:c>
      <x:c r="F235" s="13" t="str">
        <x:v>后端</x:v>
      </x:c>
      <x:c r="G235" s="13" t="str">
        <x:v>幂等创建导出任务</x:v>
      </x:c>
      <x:c r="H235" s="13" t="str">
        <x:v>每用户一个活动export</x:v>
      </x:c>
      <x:c r="I235" s="13" t="str">
        <x:v>重复请求复用</x:v>
      </x:c>
      <x:c r="J235" s="13" t="str">
        <x:v>—</x:v>
      </x:c>
      <x:c r="K235" s="13" t="str">
        <x:v>待完成</x:v>
      </x:c>
      <x:c r="L235" s="13" t="str">
        <x:v>09-19～09-21</x:v>
      </x:c>
      <x:c r="M235" s="13" t="str">
        <x:v>—</x:v>
      </x:c>
      <x:c r="N235" s="13" t="str">
        <x:v>user_id(UUID)；删除申请ID；数据导出ID；邮箱仅作登录标识</x:v>
      </x:c>
      <x:c r="O235" s="13" t="str">
        <x:v>unverified/active/deletion_pending/deleted；导出queued/processing/ready/failed/expired</x:v>
      </x:c>
      <x:c r="P235" s="13" t="str">
        <x:v>重复注册、会话过期、未验证、活动任务阻止删除、导出过期</x:v>
      </x:c>
      <x:c r="Q235" s="13" t="str">
        <x:v>仅本人访问；高风险操作重新认证；Service Role仅后端</x:v>
      </x:c>
      <x:c r="R235" s="13" t="str">
        <x:v>账户初始化/赠点/删除/导出均幂等；删除宽限30天；导出24小时</x:v>
      </x:c>
    </x:row>
    <x:row r="236" ht="68" customHeight="1">
      <x:c r="A236" s="13" t="str">
        <x:v>第 3 期</x:v>
      </x:c>
      <x:c r="B236" s="13" t="str">
        <x:v>1. 用户、登录与账户</x:v>
      </x:c>
      <x:c r="C236" s="13" t="str">
        <x:v>USER-006</x:v>
      </x:c>
      <x:c r="D236" s="13" t="str">
        <x:v>个人数据导出</x:v>
      </x:c>
      <x:c r="E236" s="13" t="str">
        <x:v>BE-EXPORT-05</x:v>
      </x:c>
      <x:c r="F236" s="13" t="str">
        <x:v>后端</x:v>
      </x:c>
      <x:c r="G236" s="13" t="str">
        <x:v>导出profile.json</x:v>
      </x:c>
      <x:c r="H236" s="13" t="str">
        <x:v>允许的用户资料字段</x:v>
      </x:c>
      <x:c r="I236" s="13" t="str">
        <x:v>不含密码哈希或内部认证数据</x:v>
      </x:c>
      <x:c r="J236" s="13" t="str">
        <x:v>—</x:v>
      </x:c>
      <x:c r="K236" s="13" t="str">
        <x:v>已完成</x:v>
      </x:c>
      <x:c r="L236" s="13" t="str">
        <x:v>09-19～09-21</x:v>
      </x:c>
      <x:c r="M236" s="13" t="str">
        <x:v>2026-08-20</x:v>
      </x:c>
      <x:c r="N236" s="13" t="str">
        <x:v>user_id(UUID)；删除申请ID；数据导出ID；邮箱仅作登录标识</x:v>
      </x:c>
      <x:c r="O236" s="13" t="str">
        <x:v>unverified/active/deletion_pending/deleted；导出queued/processing/ready/failed/expired</x:v>
      </x:c>
      <x:c r="P236" s="13" t="str">
        <x:v>重复注册、会话过期、未验证、活动任务阻止删除、导出过期</x:v>
      </x:c>
      <x:c r="Q236" s="13" t="str">
        <x:v>仅本人访问；高风险操作重新认证；Service Role仅后端</x:v>
      </x:c>
      <x:c r="R236" s="13" t="str">
        <x:v>账户初始化/赠点/删除/导出均幂等；删除宽限30天；导出24小时</x:v>
      </x:c>
    </x:row>
    <x:row r="237" ht="68" customHeight="1">
      <x:c r="A237" s="13" t="str">
        <x:v>第 3 期</x:v>
      </x:c>
      <x:c r="B237" s="13" t="str">
        <x:v>1. 用户、登录与账户</x:v>
      </x:c>
      <x:c r="C237" s="13" t="str">
        <x:v>USER-006</x:v>
      </x:c>
      <x:c r="D237" s="13" t="str">
        <x:v>个人数据导出</x:v>
      </x:c>
      <x:c r="E237" s="13" t="str">
        <x:v>BE-EXPORT-06</x:v>
      </x:c>
      <x:c r="F237" s="13" t="str">
        <x:v>后端</x:v>
      </x:c>
      <x:c r="G237" s="13" t="str">
        <x:v>导出orders.csv</x:v>
      </x:c>
      <x:c r="H237" s="13" t="str">
        <x:v>业务订单号、UUID、价格快照、状态、安全Stripe引用</x:v>
      </x:c>
      <x:c r="I237" s="13" t="str">
        <x:v>防CSV公式注入；不含卡数据</x:v>
      </x:c>
      <x:c r="J237" s="13" t="str">
        <x:v>—</x:v>
      </x:c>
      <x:c r="K237" s="13" t="str">
        <x:v>待完成</x:v>
      </x:c>
      <x:c r="L237" s="13" t="str">
        <x:v>09-19～09-21</x:v>
      </x:c>
      <x:c r="M237" s="13" t="str">
        <x:v>—</x:v>
      </x:c>
      <x:c r="N237" s="13" t="str">
        <x:v>user_id(UUID)；删除申请ID；数据导出ID；邮箱仅作登录标识</x:v>
      </x:c>
      <x:c r="O237" s="13" t="str">
        <x:v>unverified/active/deletion_pending/deleted；导出queued/processing/ready/failed/expired</x:v>
      </x:c>
      <x:c r="P237" s="13" t="str">
        <x:v>重复注册、会话过期、未验证、活动任务阻止删除、导出过期</x:v>
      </x:c>
      <x:c r="Q237" s="13" t="str">
        <x:v>仅本人访问；高风险操作重新认证；Service Role仅后端</x:v>
      </x:c>
      <x:c r="R237" s="13" t="str">
        <x:v>账户初始化/赠点/删除/导出均幂等；删除宽限30天；导出24小时</x:v>
      </x:c>
    </x:row>
    <x:row r="238" ht="68" customHeight="1">
      <x:c r="A238" s="13" t="str">
        <x:v>第 3 期</x:v>
      </x:c>
      <x:c r="B238" s="13" t="str">
        <x:v>1. 用户、登录与账户</x:v>
      </x:c>
      <x:c r="C238" s="13" t="str">
        <x:v>USER-006</x:v>
      </x:c>
      <x:c r="D238" s="13" t="str">
        <x:v>个人数据导出</x:v>
      </x:c>
      <x:c r="E238" s="13" t="str">
        <x:v>BE-EXPORT-07</x:v>
      </x:c>
      <x:c r="F238" s="13" t="str">
        <x:v>后端</x:v>
      </x:c>
      <x:c r="G238" s="13" t="str">
        <x:v>导出credit-ledger.csv</x:v>
      </x:c>
      <x:c r="H238" s="13" t="str">
        <x:v>完整账本和余额快照</x:v>
      </x:c>
      <x:c r="I238" s="13" t="str">
        <x:v>时间顺序稳定</x:v>
      </x:c>
      <x:c r="J238" s="13" t="str">
        <x:v>—</x:v>
      </x:c>
      <x:c r="K238" s="13" t="str">
        <x:v>待完成</x:v>
      </x:c>
      <x:c r="L238" s="13" t="str">
        <x:v>09-19～09-21</x:v>
      </x:c>
      <x:c r="M238" s="13" t="str">
        <x:v>—</x:v>
      </x:c>
      <x:c r="N238" s="13" t="str">
        <x:v>user_id(UUID)；删除申请ID；数据导出ID；邮箱仅作登录标识</x:v>
      </x:c>
      <x:c r="O238" s="13" t="str">
        <x:v>unverified/active/deletion_pending/deleted；导出queued/processing/ready/failed/expired</x:v>
      </x:c>
      <x:c r="P238" s="13" t="str">
        <x:v>重复注册、会话过期、未验证、活动任务阻止删除、导出过期</x:v>
      </x:c>
      <x:c r="Q238" s="13" t="str">
        <x:v>仅本人访问；高风险操作重新认证；Service Role仅后端</x:v>
      </x:c>
      <x:c r="R238" s="13" t="str">
        <x:v>账户初始化/赠点/删除/导出均幂等；删除宽限30天；导出24小时</x:v>
      </x:c>
    </x:row>
    <x:row r="239" ht="68" customHeight="1">
      <x:c r="A239" s="13" t="str">
        <x:v>第 3 期</x:v>
      </x:c>
      <x:c r="B239" s="13" t="str">
        <x:v>1. 用户、登录与账户</x:v>
      </x:c>
      <x:c r="C239" s="13" t="str">
        <x:v>USER-006</x:v>
      </x:c>
      <x:c r="D239" s="13" t="str">
        <x:v>个人数据导出</x:v>
      </x:c>
      <x:c r="E239" s="13" t="str">
        <x:v>BE-EXPORT-08</x:v>
      </x:c>
      <x:c r="F239" s="13" t="str">
        <x:v>后端</x:v>
      </x:c>
      <x:c r="G239" s="13" t="str">
        <x:v>计算billing-summary.json</x:v>
      </x:c>
      <x:c r="H239" s="13" t="str">
        <x:v>购买/退款/净额/赠送/消耗/返还/调整/余额</x:v>
      </x:c>
      <x:c r="I239" s="13" t="str">
        <x:v>与订单和账本对账一致</x:v>
      </x:c>
      <x:c r="J239" s="13" t="str">
        <x:v>—</x:v>
      </x:c>
      <x:c r="K239" s="13" t="str">
        <x:v>待完成</x:v>
      </x:c>
      <x:c r="L239" s="13" t="str">
        <x:v>09-19～09-21</x:v>
      </x:c>
      <x:c r="M239" s="13" t="str">
        <x:v>—</x:v>
      </x:c>
      <x:c r="N239" s="13" t="str">
        <x:v>user_id(UUID)；删除申请ID；数据导出ID；邮箱仅作登录标识</x:v>
      </x:c>
      <x:c r="O239" s="13" t="str">
        <x:v>unverified/active/deletion_pending/deleted；导出queued/processing/ready/failed/expired</x:v>
      </x:c>
      <x:c r="P239" s="13" t="str">
        <x:v>重复注册、会话过期、未验证、活动任务阻止删除、导出过期</x:v>
      </x:c>
      <x:c r="Q239" s="13" t="str">
        <x:v>仅本人访问；高风险操作重新认证；Service Role仅后端</x:v>
      </x:c>
      <x:c r="R239" s="13" t="str">
        <x:v>账户初始化/赠点/删除/导出均幂等；删除宽限30天；导出24小时</x:v>
      </x:c>
    </x:row>
    <x:row r="240" ht="68" customHeight="1">
      <x:c r="A240" s="13" t="str">
        <x:v>第 3 期</x:v>
      </x:c>
      <x:c r="B240" s="13" t="str">
        <x:v>1. 用户、登录与账户</x:v>
      </x:c>
      <x:c r="C240" s="13" t="str">
        <x:v>USER-006</x:v>
      </x:c>
      <x:c r="D240" s="13" t="str">
        <x:v>个人数据导出</x:v>
      </x:c>
      <x:c r="E240" s="13" t="str">
        <x:v>BE-EXPORT-09</x:v>
      </x:c>
      <x:c r="F240" s="13" t="str">
        <x:v>后端</x:v>
      </x:c>
      <x:c r="G240" s="13" t="str">
        <x:v>生成作品manifest.json</x:v>
      </x:c>
      <x:c r="H240" s="13" t="str">
        <x:v>任务、主体、方案、设置和版本</x:v>
      </x:c>
      <x:c r="I240" s="13" t="str">
        <x:v>不含完整内部Prompt</x:v>
      </x:c>
      <x:c r="J240" s="13" t="str">
        <x:v>—</x:v>
      </x:c>
      <x:c r="K240" s="13" t="str">
        <x:v>待完成</x:v>
      </x:c>
      <x:c r="L240" s="13" t="str">
        <x:v>09-19～09-21</x:v>
      </x:c>
      <x:c r="M240" s="13" t="str">
        <x:v>—</x:v>
      </x:c>
      <x:c r="N240" s="13" t="str">
        <x:v>user_id(UUID)；删除申请ID；数据导出ID；邮箱仅作登录标识</x:v>
      </x:c>
      <x:c r="O240" s="13" t="str">
        <x:v>unverified/active/deletion_pending/deleted；导出queued/processing/ready/failed/expired</x:v>
      </x:c>
      <x:c r="P240" s="13" t="str">
        <x:v>重复注册、会话过期、未验证、活动任务阻止删除、导出过期</x:v>
      </x:c>
      <x:c r="Q240" s="13" t="str">
        <x:v>仅本人访问；高风险操作重新认证；Service Role仅后端</x:v>
      </x:c>
      <x:c r="R240" s="13" t="str">
        <x:v>账户初始化/赠点/删除/导出均幂等；删除宽限30天；导出24小时</x:v>
      </x:c>
    </x:row>
    <x:row r="241" ht="68" customHeight="1">
      <x:c r="A241" s="13" t="str">
        <x:v>第 3 期</x:v>
      </x:c>
      <x:c r="B241" s="13" t="str">
        <x:v>1. 用户、登录与账户</x:v>
      </x:c>
      <x:c r="C241" s="13" t="str">
        <x:v>USER-006</x:v>
      </x:c>
      <x:c r="D241" s="13" t="str">
        <x:v>个人数据导出</x:v>
      </x:c>
      <x:c r="E241" s="13" t="str">
        <x:v>BE-EXPORT-10</x:v>
      </x:c>
      <x:c r="F241" s="13" t="str">
        <x:v>后端</x:v>
      </x:c>
      <x:c r="G241" s="13" t="str">
        <x:v>收集仍有效PNG</x:v>
      </x:c>
      <x:c r="H241" s="13" t="str">
        <x:v>仅未超过30天资产</x:v>
      </x:c>
      <x:c r="I241" s="13" t="str">
        <x:v>已清理资产不恢复</x:v>
      </x:c>
      <x:c r="J241" s="13" t="str">
        <x:v>—</x:v>
      </x:c>
      <x:c r="K241" s="13" t="str">
        <x:v>待完成</x:v>
      </x:c>
      <x:c r="L241" s="13" t="str">
        <x:v>09-19～09-21</x:v>
      </x:c>
      <x:c r="M241" s="13" t="str">
        <x:v>—</x:v>
      </x:c>
      <x:c r="N241" s="13" t="str">
        <x:v>user_id(UUID)；删除申请ID；数据导出ID；邮箱仅作登录标识</x:v>
      </x:c>
      <x:c r="O241" s="13" t="str">
        <x:v>unverified/active/deletion_pending/deleted；导出queued/processing/ready/failed/expired</x:v>
      </x:c>
      <x:c r="P241" s="13" t="str">
        <x:v>重复注册、会话过期、未验证、活动任务阻止删除、导出过期</x:v>
      </x:c>
      <x:c r="Q241" s="13" t="str">
        <x:v>仅本人访问；高风险操作重新认证；Service Role仅后端</x:v>
      </x:c>
      <x:c r="R241" s="13" t="str">
        <x:v>账户初始化/赠点/删除/导出均幂等；删除宽限30天；导出24小时</x:v>
      </x:c>
    </x:row>
    <x:row r="242" ht="68" customHeight="1">
      <x:c r="A242" s="13" t="str">
        <x:v>第 3 期</x:v>
      </x:c>
      <x:c r="B242" s="13" t="str">
        <x:v>1. 用户、登录与账户</x:v>
      </x:c>
      <x:c r="C242" s="13" t="str">
        <x:v>USER-006</x:v>
      </x:c>
      <x:c r="D242" s="13" t="str">
        <x:v>个人数据导出</x:v>
      </x:c>
      <x:c r="E242" s="13" t="str">
        <x:v>BE-EXPORT-11</x:v>
      </x:c>
      <x:c r="F242" s="13" t="str">
        <x:v>后端</x:v>
      </x:c>
      <x:c r="G242" s="13" t="str">
        <x:v>组装私有ZIP</x:v>
      </x:c>
      <x:c r="H242" s="13" t="str">
        <x:v>固定目录和UTF-8文件名</x:v>
      </x:c>
      <x:c r="I242" s="13" t="str">
        <x:v>不包含其他用户文件</x:v>
      </x:c>
      <x:c r="J242" s="13" t="str">
        <x:v>—</x:v>
      </x:c>
      <x:c r="K242" s="13" t="str">
        <x:v>待完成</x:v>
      </x:c>
      <x:c r="L242" s="13" t="str">
        <x:v>09-19～09-21</x:v>
      </x:c>
      <x:c r="M242" s="13" t="str">
        <x:v>—</x:v>
      </x:c>
      <x:c r="N242" s="13" t="str">
        <x:v>user_id(UUID)；删除申请ID；数据导出ID；邮箱仅作登录标识</x:v>
      </x:c>
      <x:c r="O242" s="13" t="str">
        <x:v>unverified/active/deletion_pending/deleted；导出queued/processing/ready/failed/expired</x:v>
      </x:c>
      <x:c r="P242" s="13" t="str">
        <x:v>重复注册、会话过期、未验证、活动任务阻止删除、导出过期</x:v>
      </x:c>
      <x:c r="Q242" s="13" t="str">
        <x:v>仅本人访问；高风险操作重新认证；Service Role仅后端</x:v>
      </x:c>
      <x:c r="R242" s="13" t="str">
        <x:v>账户初始化/赠点/删除/导出均幂等；删除宽限30天；导出24小时</x:v>
      </x:c>
    </x:row>
    <x:row r="243" ht="68" customHeight="1">
      <x:c r="A243" s="13" t="str">
        <x:v>第 3 期</x:v>
      </x:c>
      <x:c r="B243" s="13" t="str">
        <x:v>1. 用户、登录与账户</x:v>
      </x:c>
      <x:c r="C243" s="13" t="str">
        <x:v>USER-006</x:v>
      </x:c>
      <x:c r="D243" s="13" t="str">
        <x:v>个人数据导出</x:v>
      </x:c>
      <x:c r="E243" s="13" t="str">
        <x:v>BE-EXPORT-12</x:v>
      </x:c>
      <x:c r="F243" s="13" t="str">
        <x:v>后端</x:v>
      </x:c>
      <x:c r="G243" s="13" t="str">
        <x:v>保存24小时并签名下载</x:v>
      </x:c>
      <x:c r="H243" s="13" t="str">
        <x:v>ready/expiresAt/url</x:v>
      </x:c>
      <x:c r="I243" s="13" t="str">
        <x:v>过期后可在宽限期重建</x:v>
      </x:c>
      <x:c r="J243" s="13" t="str">
        <x:v>—</x:v>
      </x:c>
      <x:c r="K243" s="13" t="str">
        <x:v>待完成</x:v>
      </x:c>
      <x:c r="L243" s="13" t="str">
        <x:v>09-19～09-21</x:v>
      </x:c>
      <x:c r="M243" s="13" t="str">
        <x:v>—</x:v>
      </x:c>
      <x:c r="N243" s="13" t="str">
        <x:v>user_id(UUID)；删除申请ID；数据导出ID；邮箱仅作登录标识</x:v>
      </x:c>
      <x:c r="O243" s="13" t="str">
        <x:v>unverified/active/deletion_pending/deleted；导出queued/processing/ready/failed/expired</x:v>
      </x:c>
      <x:c r="P243" s="13" t="str">
        <x:v>重复注册、会话过期、未验证、活动任务阻止删除、导出过期</x:v>
      </x:c>
      <x:c r="Q243" s="13" t="str">
        <x:v>仅本人访问；高风险操作重新认证；Service Role仅后端</x:v>
      </x:c>
      <x:c r="R243" s="13" t="str">
        <x:v>账户初始化/赠点/删除/导出均幂等；删除宽限30天；导出24小时</x:v>
      </x:c>
    </x:row>
    <x:row r="244" ht="68" customHeight="1">
      <x:c r="A244" s="13" t="str">
        <x:v>第 3 期</x:v>
      </x:c>
      <x:c r="B244" s="13" t="str">
        <x:v>1. 用户、登录与账户</x:v>
      </x:c>
      <x:c r="C244" s="13" t="str">
        <x:v>USER-006</x:v>
      </x:c>
      <x:c r="D244" s="13" t="str">
        <x:v>个人数据导出</x:v>
      </x:c>
      <x:c r="E244" s="13" t="str">
        <x:v>BE-EXPORT-13</x:v>
      </x:c>
      <x:c r="F244" s="13" t="str">
        <x:v>后端</x:v>
      </x:c>
      <x:c r="G244" s="13" t="str">
        <x:v>协调正式删除</x:v>
      </x:c>
      <x:c r="H244" s="13" t="str">
        <x:v>等待活动导出完成或超时</x:v>
      </x:c>
      <x:c r="I244" s="13" t="str">
        <x:v>不无限阻塞账户清理</x:v>
      </x:c>
      <x:c r="J244" s="13" t="str">
        <x:v>—</x:v>
      </x:c>
      <x:c r="K244" s="13" t="str">
        <x:v>待完成</x:v>
      </x:c>
      <x:c r="L244" s="13" t="str">
        <x:v>09-19～09-21</x:v>
      </x:c>
      <x:c r="M244" s="13" t="str">
        <x:v>—</x:v>
      </x:c>
      <x:c r="N244" s="13" t="str">
        <x:v>user_id(UUID)；删除申请ID；数据导出ID；邮箱仅作登录标识</x:v>
      </x:c>
      <x:c r="O244" s="13" t="str">
        <x:v>unverified/active/deletion_pending/deleted；导出queued/processing/ready/failed/expired</x:v>
      </x:c>
      <x:c r="P244" s="13" t="str">
        <x:v>重复注册、会话过期、未验证、活动任务阻止删除、导出过期</x:v>
      </x:c>
      <x:c r="Q244" s="13" t="str">
        <x:v>仅本人访问；高风险操作重新认证；Service Role仅后端</x:v>
      </x:c>
      <x:c r="R244" s="13" t="str">
        <x:v>账户初始化/赠点/删除/导出均幂等；删除宽限30天；导出24小时</x:v>
      </x:c>
    </x:row>
    <x:row r="245" ht="68" customHeight="1">
      <x:c r="A245" s="13" t="str">
        <x:v>第 3 期</x:v>
      </x:c>
      <x:c r="B245" s="13" t="str">
        <x:v>1. 用户、登录与账户</x:v>
      </x:c>
      <x:c r="C245" s="13" t="str">
        <x:v>USER-006</x:v>
      </x:c>
      <x:c r="D245" s="13" t="str">
        <x:v>个人数据导出</x:v>
      </x:c>
      <x:c r="E245" s="13" t="str">
        <x:v>BE-EXPORT-14</x:v>
      </x:c>
      <x:c r="F245" s="13" t="str">
        <x:v>后端</x:v>
      </x:c>
      <x:c r="G245" s="13" t="str">
        <x:v>定义account/data-export稳定错误码</x:v>
      </x:c>
      <x:c r="H245" s="13" t="str">
        <x:v>错误枚举和HTTP映射</x:v>
      </x:c>
      <x:c r="I245" s="13" t="str">
        <x:v>前端无需解析内部错误正文</x:v>
      </x:c>
      <x:c r="J245" s="13" t="str">
        <x:v>BE-EXPORT-02</x:v>
      </x:c>
      <x:c r="K245" s="13" t="str">
        <x:v>待完成</x:v>
      </x:c>
      <x:c r="L245" s="13" t="str">
        <x:v>09-19～09-21</x:v>
      </x:c>
      <x:c r="M245" s="13" t="str">
        <x:v>—</x:v>
      </x:c>
      <x:c r="N245" s="13" t="str">
        <x:v>user_id(UUID)；删除申请ID；数据导出ID；邮箱仅作登录标识</x:v>
      </x:c>
      <x:c r="O245" s="13" t="str">
        <x:v>unverified/active/deletion_pending/deleted；导出queued/processing/ready/failed/expired</x:v>
      </x:c>
      <x:c r="P245" s="13" t="str">
        <x:v>重复注册、会话过期、未验证、活动任务阻止删除、导出过期</x:v>
      </x:c>
      <x:c r="Q245" s="13" t="str">
        <x:v>仅本人访问；高风险操作重新认证；Service Role仅后端</x:v>
      </x:c>
      <x:c r="R245" s="13" t="str">
        <x:v>账户初始化/赠点/删除/导出均幂等；删除宽限30天；导出24小时</x:v>
      </x:c>
    </x:row>
    <x:row r="246" ht="68" customHeight="1">
      <x:c r="A246" s="13" t="str">
        <x:v>第 3 期</x:v>
      </x:c>
      <x:c r="B246" s="13" t="str">
        <x:v>1. 用户、登录与账户</x:v>
      </x:c>
      <x:c r="C246" s="13" t="str">
        <x:v>USER-006</x:v>
      </x:c>
      <x:c r="D246" s="13" t="str">
        <x:v>个人数据导出</x:v>
      </x:c>
      <x:c r="E246" s="13" t="str">
        <x:v>BE-EXPORT-15</x:v>
      </x:c>
      <x:c r="F246" s="13" t="str">
        <x:v>后端</x:v>
      </x:c>
      <x:c r="G246" s="13" t="str">
        <x:v>编写account/data-export单元与集成测试</x:v>
      </x:c>
      <x:c r="H246" s="13" t="str">
        <x:v>成功/失败/重复/越权测试</x:v>
      </x:c>
      <x:c r="I246" s="13" t="str">
        <x:v>测试可重复运行且数据库副作用可核对</x:v>
      </x:c>
      <x:c r="J246" s="13" t="str">
        <x:v>—</x:v>
      </x:c>
      <x:c r="K246" s="13" t="str">
        <x:v>待完成</x:v>
      </x:c>
      <x:c r="L246" s="13" t="str">
        <x:v>09-19～09-21</x:v>
      </x:c>
      <x:c r="M246" s="13" t="str">
        <x:v>—</x:v>
      </x:c>
      <x:c r="N246" s="13" t="str">
        <x:v>user_id(UUID)；删除申请ID；数据导出ID；邮箱仅作登录标识</x:v>
      </x:c>
      <x:c r="O246" s="13" t="str">
        <x:v>unverified/active/deletion_pending/deleted；导出queued/processing/ready/failed/expired</x:v>
      </x:c>
      <x:c r="P246" s="13" t="str">
        <x:v>重复注册、会话过期、未验证、活动任务阻止删除、导出过期</x:v>
      </x:c>
      <x:c r="Q246" s="13" t="str">
        <x:v>仅本人访问；高风险操作重新认证；Service Role仅后端</x:v>
      </x:c>
      <x:c r="R246" s="13" t="str">
        <x:v>账户初始化/赠点/删除/导出均幂等；删除宽限30天；导出24小时</x:v>
      </x:c>
    </x:row>
    <x:row r="247" ht="68" customHeight="1">
      <x:c r="A247" s="13" t="str">
        <x:v>第 3 期</x:v>
      </x:c>
      <x:c r="B247" s="13" t="str">
        <x:v>1. 用户、登录与账户</x:v>
      </x:c>
      <x:c r="C247" s="13" t="str">
        <x:v>USER-006</x:v>
      </x:c>
      <x:c r="D247" s="13" t="str">
        <x:v>个人数据导出</x:v>
      </x:c>
      <x:c r="E247" s="13" t="str">
        <x:v>BE-EXPORT-16</x:v>
      </x:c>
      <x:c r="F247" s="13" t="str">
        <x:v>后端</x:v>
      </x:c>
      <x:c r="G247" s="13" t="str">
        <x:v>更新account/data-export接口文档</x:v>
      </x:c>
      <x:c r="H247" s="13" t="str">
        <x:v>请求、响应、错误、鉴权和示例</x:v>
      </x:c>
      <x:c r="I247" s="13" t="str">
        <x:v>前端可仅依据文档完成联调</x:v>
      </x:c>
      <x:c r="J247" s="13" t="str">
        <x:v>—</x:v>
      </x:c>
      <x:c r="K247" s="13" t="str">
        <x:v>待完成</x:v>
      </x:c>
      <x:c r="L247" s="13" t="str">
        <x:v>09-19～09-21</x:v>
      </x:c>
      <x:c r="M247" s="13" t="str">
        <x:v>—</x:v>
      </x:c>
      <x:c r="N247" s="13" t="str">
        <x:v>user_id(UUID)；删除申请ID；数据导出ID；邮箱仅作登录标识</x:v>
      </x:c>
      <x:c r="O247" s="13" t="str">
        <x:v>unverified/active/deletion_pending/deleted；导出queued/processing/ready/failed/expired</x:v>
      </x:c>
      <x:c r="P247" s="13" t="str">
        <x:v>重复注册、会话过期、未验证、活动任务阻止删除、导出过期</x:v>
      </x:c>
      <x:c r="Q247" s="13" t="str">
        <x:v>仅本人访问；高风险操作重新认证；Service Role仅后端</x:v>
      </x:c>
      <x:c r="R247" s="13" t="str">
        <x:v>账户初始化/赠点/删除/导出均幂等；删除宽限30天；导出24小时</x:v>
      </x:c>
    </x:row>
    <x:row r="248" ht="68" customHeight="1">
      <x:c r="A248" s="13" t="str">
        <x:v>第 3 期</x:v>
      </x:c>
      <x:c r="B248" s="13" t="str">
        <x:v>5. 最小运营支持</x:v>
      </x:c>
      <x:c r="C248" s="13" t="str">
        <x:v>OPS-001</x:v>
      </x:c>
      <x:c r="D248" s="13" t="str">
        <x:v>管理员权限与审计</x:v>
      </x:c>
      <x:c r="E248" s="13" t="str">
        <x:v>BE-OPS-AUTH-01</x:v>
      </x:c>
      <x:c r="F248" s="13" t="str">
        <x:v>后端</x:v>
      </x:c>
      <x:c r="G248" s="13" t="str">
        <x:v>定义管理员Claim/RBAC</x:v>
      </x:c>
      <x:c r="H248" s="13" t="str">
        <x:v>允许角色和权限集合</x:v>
      </x:c>
      <x:c r="I248" s="13" t="str">
        <x:v>普通用户无任何运营访问</x:v>
      </x:c>
      <x:c r="J248" s="13" t="str">
        <x:v>—</x:v>
      </x:c>
      <x:c r="K248" s="13" t="str">
        <x:v>待完成</x:v>
      </x:c>
      <x:c r="L248" s="13" t="str">
        <x:v>09-20～09-22</x:v>
      </x:c>
      <x:c r="M248" s="13" t="str">
        <x:v>—</x:v>
      </x:c>
      <x:c r="N248" s="13" t="str">
        <x:v>audit_id；actor_user_id；target_type+target_id；任务UUID或业务订单号</x:v>
      </x:c>
      <x:c r="O248" s="13" t="str">
        <x:v>operation requested/succeeded/failed；业务对象仍遵循自身状态机</x:v>
      </x:c>
      <x:c r="P248" s="13" t="str">
        <x:v>管理员越权、重复重试、重复调点、目标不存在、外部处理中</x:v>
      </x:c>
      <x:c r="Q248" s="13" t="str">
        <x:v>RBAC；查看/修改权限分离；人工变更记录原因和操作人</x:v>
      </x:c>
      <x:c r="R248" s="13" t="str">
        <x:v>重试/调点使用唯一业务键；审计不可修改且不进入个人数据导出</x:v>
      </x:c>
    </x:row>
    <x:row r="249" ht="68" customHeight="1">
      <x:c r="A249" s="13" t="str">
        <x:v>第 3 期</x:v>
      </x:c>
      <x:c r="B249" s="13" t="str">
        <x:v>5. 最小运营支持</x:v>
      </x:c>
      <x:c r="C249" s="13" t="str">
        <x:v>OPS-001</x:v>
      </x:c>
      <x:c r="D249" s="13" t="str">
        <x:v>管理员权限与审计</x:v>
      </x:c>
      <x:c r="E249" s="13" t="str">
        <x:v>BE-OPS-AUTH-02</x:v>
      </x:c>
      <x:c r="F249" s="13" t="str">
        <x:v>后端</x:v>
      </x:c>
      <x:c r="G249" s="13" t="str">
        <x:v>建立服务端管理员守卫</x:v>
      </x:c>
      <x:c r="H249" s="13" t="str">
        <x:v>API统一鉴权中间层</x:v>
      </x:c>
      <x:c r="I249" s="13" t="str">
        <x:v>前端隐藏不能替代后端鉴权</x:v>
      </x:c>
      <x:c r="J249" s="13" t="str">
        <x:v>—</x:v>
      </x:c>
      <x:c r="K249" s="13" t="str">
        <x:v>待完成</x:v>
      </x:c>
      <x:c r="L249" s="13" t="str">
        <x:v>09-20～09-22</x:v>
      </x:c>
      <x:c r="M249" s="13" t="str">
        <x:v>—</x:v>
      </x:c>
      <x:c r="N249" s="13" t="str">
        <x:v>audit_id；actor_user_id；target_type+target_id；任务UUID或业务订单号</x:v>
      </x:c>
      <x:c r="O249" s="13" t="str">
        <x:v>operation requested/succeeded/failed；业务对象仍遵循自身状态机</x:v>
      </x:c>
      <x:c r="P249" s="13" t="str">
        <x:v>管理员越权、重复重试、重复调点、目标不存在、外部处理中</x:v>
      </x:c>
      <x:c r="Q249" s="13" t="str">
        <x:v>RBAC；查看/修改权限分离；人工变更记录原因和操作人</x:v>
      </x:c>
      <x:c r="R249" s="13" t="str">
        <x:v>重试/调点使用唯一业务键；审计不可修改且不进入个人数据导出</x:v>
      </x:c>
    </x:row>
    <x:row r="250" ht="68" customHeight="1">
      <x:c r="A250" s="13" t="str">
        <x:v>第 3 期</x:v>
      </x:c>
      <x:c r="B250" s="13" t="str">
        <x:v>5. 最小运营支持</x:v>
      </x:c>
      <x:c r="C250" s="13" t="str">
        <x:v>OPS-001</x:v>
      </x:c>
      <x:c r="D250" s="13" t="str">
        <x:v>管理员权限与审计</x:v>
      </x:c>
      <x:c r="E250" s="13" t="str">
        <x:v>BE-OPS-AUTH-03</x:v>
      </x:c>
      <x:c r="F250" s="13" t="str">
        <x:v>后端</x:v>
      </x:c>
      <x:c r="G250" s="13" t="str">
        <x:v>建立admin_audit_logs写入服务</x:v>
      </x:c>
      <x:c r="H250" s="13" t="str">
        <x:v>actor/action/target/reason/result</x:v>
      </x:c>
      <x:c r="I250" s="13" t="str">
        <x:v>人工变更必须有审计</x:v>
      </x:c>
      <x:c r="J250" s="13" t="str">
        <x:v>—</x:v>
      </x:c>
      <x:c r="K250" s="13" t="str">
        <x:v>待完成</x:v>
      </x:c>
      <x:c r="L250" s="13" t="str">
        <x:v>09-20～09-22</x:v>
      </x:c>
      <x:c r="M250" s="13" t="str">
        <x:v>—</x:v>
      </x:c>
      <x:c r="N250" s="13" t="str">
        <x:v>audit_id；actor_user_id；target_type+target_id；任务UUID或业务订单号</x:v>
      </x:c>
      <x:c r="O250" s="13" t="str">
        <x:v>operation requested/succeeded/failed；业务对象仍遵循自身状态机</x:v>
      </x:c>
      <x:c r="P250" s="13" t="str">
        <x:v>管理员越权、重复重试、重复调点、目标不存在、外部处理中</x:v>
      </x:c>
      <x:c r="Q250" s="13" t="str">
        <x:v>RBAC；查看/修改权限分离；人工变更记录原因和操作人</x:v>
      </x:c>
      <x:c r="R250" s="13" t="str">
        <x:v>重试/调点使用唯一业务键；审计不可修改且不进入个人数据导出</x:v>
      </x:c>
    </x:row>
    <x:row r="251" ht="68" customHeight="1">
      <x:c r="A251" s="13" t="str">
        <x:v>第 3 期</x:v>
      </x:c>
      <x:c r="B251" s="13" t="str">
        <x:v>5. 最小运营支持</x:v>
      </x:c>
      <x:c r="C251" s="13" t="str">
        <x:v>OPS-001</x:v>
      </x:c>
      <x:c r="D251" s="13" t="str">
        <x:v>管理员权限与审计</x:v>
      </x:c>
      <x:c r="E251" s="13" t="str">
        <x:v>BE-OPS-AUTH-04</x:v>
      </x:c>
      <x:c r="F251" s="13" t="str">
        <x:v>后端</x:v>
      </x:c>
      <x:c r="G251" s="13" t="str">
        <x:v>保护审计不可修改</x:v>
      </x:c>
      <x:c r="H251" s="13" t="str">
        <x:v>仅插入/受控读取</x:v>
      </x:c>
      <x:c r="I251" s="13" t="str">
        <x:v>管理员也不能覆盖历史</x:v>
      </x:c>
      <x:c r="J251" s="13" t="str">
        <x:v>—</x:v>
      </x:c>
      <x:c r="K251" s="13" t="str">
        <x:v>待完成</x:v>
      </x:c>
      <x:c r="L251" s="13" t="str">
        <x:v>09-20～09-22</x:v>
      </x:c>
      <x:c r="M251" s="13" t="str">
        <x:v>—</x:v>
      </x:c>
      <x:c r="N251" s="13" t="str">
        <x:v>audit_id；actor_user_id；target_type+target_id；任务UUID或业务订单号</x:v>
      </x:c>
      <x:c r="O251" s="13" t="str">
        <x:v>operation requested/succeeded/failed；业务对象仍遵循自身状态机</x:v>
      </x:c>
      <x:c r="P251" s="13" t="str">
        <x:v>管理员越权、重复重试、重复调点、目标不存在、外部处理中</x:v>
      </x:c>
      <x:c r="Q251" s="13" t="str">
        <x:v>RBAC；查看/修改权限分离；人工变更记录原因和操作人</x:v>
      </x:c>
      <x:c r="R251" s="13" t="str">
        <x:v>重试/调点使用唯一业务键；审计不可修改且不进入个人数据导出</x:v>
      </x:c>
    </x:row>
    <x:row r="252" ht="68" customHeight="1">
      <x:c r="A252" s="13" t="str">
        <x:v>第 3 期</x:v>
      </x:c>
      <x:c r="B252" s="13" t="str">
        <x:v>5. 最小运营支持</x:v>
      </x:c>
      <x:c r="C252" s="13" t="str">
        <x:v>OPS-002/003</x:v>
      </x:c>
      <x:c r="D252" s="13" t="str">
        <x:v>最小运营API</x:v>
      </x:c>
      <x:c r="E252" s="13" t="str">
        <x:v>BE-OPS-01</x:v>
      </x:c>
      <x:c r="F252" s="13" t="str">
        <x:v>后端</x:v>
      </x:c>
      <x:c r="G252" s="13" t="str">
        <x:v>按任务UUID查询</x:v>
      </x:c>
      <x:c r="H252" s="13" t="str">
        <x:v>任务/主体/variant/错误/尝试次数</x:v>
      </x:c>
      <x:c r="I252" s="13" t="str">
        <x:v>返回支持排障所需最小数据</x:v>
      </x:c>
      <x:c r="J252" s="13" t="str">
        <x:v>—</x:v>
      </x:c>
      <x:c r="K252" s="13" t="str">
        <x:v>待完成</x:v>
      </x:c>
      <x:c r="L252" s="13" t="str">
        <x:v>09-20～09-22</x:v>
      </x:c>
      <x:c r="M252" s="13" t="str">
        <x:v>—</x:v>
      </x:c>
      <x:c r="N252" s="13" t="str">
        <x:v>audit_id；actor_user_id；target_type+target_id；任务UUID或业务订单号</x:v>
      </x:c>
      <x:c r="O252" s="13" t="str">
        <x:v>operation requested/succeeded/failed；业务对象仍遵循自身状态机</x:v>
      </x:c>
      <x:c r="P252" s="13" t="str">
        <x:v>管理员越权、重复重试、重复调点、目标不存在、外部处理中</x:v>
      </x:c>
      <x:c r="Q252" s="13" t="str">
        <x:v>RBAC；查看/修改权限分离；人工变更记录原因和操作人</x:v>
      </x:c>
      <x:c r="R252" s="13" t="str">
        <x:v>重试/调点使用唯一业务键；审计不可修改且不进入个人数据导出</x:v>
      </x:c>
    </x:row>
    <x:row r="253" ht="68" customHeight="1">
      <x:c r="A253" s="13" t="str">
        <x:v>第 3 期</x:v>
      </x:c>
      <x:c r="B253" s="13" t="str">
        <x:v>5. 最小运营支持</x:v>
      </x:c>
      <x:c r="C253" s="13" t="str">
        <x:v>OPS-002/003</x:v>
      </x:c>
      <x:c r="D253" s="13" t="str">
        <x:v>最小运营API</x:v>
      </x:c>
      <x:c r="E253" s="13" t="str">
        <x:v>BE-OPS-02</x:v>
      </x:c>
      <x:c r="F253" s="13" t="str">
        <x:v>后端</x:v>
      </x:c>
      <x:c r="G253" s="13" t="str">
        <x:v>安全重试生成任务</x:v>
      </x:c>
      <x:c r="H253" s="13" t="str">
        <x:v>目标状态和重试资格校验</x:v>
      </x:c>
      <x:c r="I253" s="13" t="str">
        <x:v>completed不可重试；操作幂等</x:v>
      </x:c>
      <x:c r="J253" s="13" t="str">
        <x:v>—</x:v>
      </x:c>
      <x:c r="K253" s="13" t="str">
        <x:v>待完成</x:v>
      </x:c>
      <x:c r="L253" s="13" t="str">
        <x:v>09-20～09-22</x:v>
      </x:c>
      <x:c r="M253" s="13" t="str">
        <x:v>—</x:v>
      </x:c>
      <x:c r="N253" s="13" t="str">
        <x:v>audit_id；actor_user_id；target_type+target_id；任务UUID或业务订单号</x:v>
      </x:c>
      <x:c r="O253" s="13" t="str">
        <x:v>operation requested/succeeded/failed；业务对象仍遵循自身状态机</x:v>
      </x:c>
      <x:c r="P253" s="13" t="str">
        <x:v>管理员越权、重复重试、重复调点、目标不存在、外部处理中</x:v>
      </x:c>
      <x:c r="Q253" s="13" t="str">
        <x:v>RBAC；查看/修改权限分离；人工变更记录原因和操作人</x:v>
      </x:c>
      <x:c r="R253" s="13" t="str">
        <x:v>重试/调点使用唯一业务键；审计不可修改且不进入个人数据导出</x:v>
      </x:c>
    </x:row>
    <x:row r="254" ht="68" customHeight="1">
      <x:c r="A254" s="13" t="str">
        <x:v>第 3 期</x:v>
      </x:c>
      <x:c r="B254" s="13" t="str">
        <x:v>5. 最小运营支持</x:v>
      </x:c>
      <x:c r="C254" s="13" t="str">
        <x:v>OPS-002/003</x:v>
      </x:c>
      <x:c r="D254" s="13" t="str">
        <x:v>最小运营API</x:v>
      </x:c>
      <x:c r="E254" s="13" t="str">
        <x:v>BE-OPS-03</x:v>
      </x:c>
      <x:c r="F254" s="13" t="str">
        <x:v>后端</x:v>
      </x:c>
      <x:c r="G254" s="13" t="str">
        <x:v>按业务订单号查询</x:v>
      </x:c>
      <x:c r="H254" s="13" t="str">
        <x:v>订单快照和状态</x:v>
      </x:c>
      <x:c r="I254" s="13" t="str">
        <x:v>不展示卡数据</x:v>
      </x:c>
      <x:c r="J254" s="13" t="str">
        <x:v>—</x:v>
      </x:c>
      <x:c r="K254" s="13" t="str">
        <x:v>待完成</x:v>
      </x:c>
      <x:c r="L254" s="13" t="str">
        <x:v>09-20～09-22</x:v>
      </x:c>
      <x:c r="M254" s="13" t="str">
        <x:v>—</x:v>
      </x:c>
      <x:c r="N254" s="13" t="str">
        <x:v>audit_id；actor_user_id；target_type+target_id；任务UUID或业务订单号</x:v>
      </x:c>
      <x:c r="O254" s="13" t="str">
        <x:v>operation requested/succeeded/failed；业务对象仍遵循自身状态机</x:v>
      </x:c>
      <x:c r="P254" s="13" t="str">
        <x:v>管理员越权、重复重试、重复调点、目标不存在、外部处理中</x:v>
      </x:c>
      <x:c r="Q254" s="13" t="str">
        <x:v>RBAC；查看/修改权限分离；人工变更记录原因和操作人</x:v>
      </x:c>
      <x:c r="R254" s="13" t="str">
        <x:v>重试/调点使用唯一业务键；审计不可修改且不进入个人数据导出</x:v>
      </x:c>
    </x:row>
    <x:row r="255" ht="68" customHeight="1">
      <x:c r="A255" s="13" t="str">
        <x:v>第 3 期</x:v>
      </x:c>
      <x:c r="B255" s="13" t="str">
        <x:v>5. 最小运营支持</x:v>
      </x:c>
      <x:c r="C255" s="13" t="str">
        <x:v>OPS-002/003</x:v>
      </x:c>
      <x:c r="D255" s="13" t="str">
        <x:v>最小运营API</x:v>
      </x:c>
      <x:c r="E255" s="13" t="str">
        <x:v>BE-OPS-04</x:v>
      </x:c>
      <x:c r="F255" s="13" t="str">
        <x:v>后端</x:v>
      </x:c>
      <x:c r="G255" s="13" t="str">
        <x:v>按Stripe Session查询</x:v>
      </x:c>
      <x:c r="H255" s="13" t="str">
        <x:v>映射内部订单</x:v>
      </x:c>
      <x:c r="I255" s="13" t="str">
        <x:v>仅管理员</x:v>
      </x:c>
      <x:c r="J255" s="13" t="str">
        <x:v>—</x:v>
      </x:c>
      <x:c r="K255" s="13" t="str">
        <x:v>待完成</x:v>
      </x:c>
      <x:c r="L255" s="13" t="str">
        <x:v>09-20～09-22</x:v>
      </x:c>
      <x:c r="M255" s="13" t="str">
        <x:v>—</x:v>
      </x:c>
      <x:c r="N255" s="13" t="str">
        <x:v>audit_id；actor_user_id；target_type+target_id；任务UUID或业务订单号</x:v>
      </x:c>
      <x:c r="O255" s="13" t="str">
        <x:v>operation requested/succeeded/failed；业务对象仍遵循自身状态机</x:v>
      </x:c>
      <x:c r="P255" s="13" t="str">
        <x:v>管理员越权、重复重试、重复调点、目标不存在、外部处理中</x:v>
      </x:c>
      <x:c r="Q255" s="13" t="str">
        <x:v>RBAC；查看/修改权限分离；人工变更记录原因和操作人</x:v>
      </x:c>
      <x:c r="R255" s="13" t="str">
        <x:v>重试/调点使用唯一业务键；审计不可修改且不进入个人数据导出</x:v>
      </x:c>
    </x:row>
    <x:row r="256" ht="68" customHeight="1">
      <x:c r="A256" s="13" t="str">
        <x:v>第 3 期</x:v>
      </x:c>
      <x:c r="B256" s="13" t="str">
        <x:v>5. 最小运营支持</x:v>
      </x:c>
      <x:c r="C256" s="13" t="str">
        <x:v>OPS-002/003</x:v>
      </x:c>
      <x:c r="D256" s="13" t="str">
        <x:v>最小运营API</x:v>
      </x:c>
      <x:c r="E256" s="13" t="str">
        <x:v>BE-OPS-05</x:v>
      </x:c>
      <x:c r="F256" s="13" t="str">
        <x:v>后端</x:v>
      </x:c>
      <x:c r="G256" s="13" t="str">
        <x:v>按Stripe Event查询</x:v>
      </x:c>
      <x:c r="H256" s="13" t="str">
        <x:v>事件处理结果</x:v>
      </x:c>
      <x:c r="I256" s="13" t="str">
        <x:v>不返回签名Secret</x:v>
      </x:c>
      <x:c r="J256" s="13" t="str">
        <x:v>—</x:v>
      </x:c>
      <x:c r="K256" s="13" t="str">
        <x:v>待完成</x:v>
      </x:c>
      <x:c r="L256" s="13" t="str">
        <x:v>09-20～09-22</x:v>
      </x:c>
      <x:c r="M256" s="13" t="str">
        <x:v>—</x:v>
      </x:c>
      <x:c r="N256" s="13" t="str">
        <x:v>audit_id；actor_user_id；target_type+target_id；任务UUID或业务订单号</x:v>
      </x:c>
      <x:c r="O256" s="13" t="str">
        <x:v>operation requested/succeeded/failed；业务对象仍遵循自身状态机</x:v>
      </x:c>
      <x:c r="P256" s="13" t="str">
        <x:v>管理员越权、重复重试、重复调点、目标不存在、外部处理中</x:v>
      </x:c>
      <x:c r="Q256" s="13" t="str">
        <x:v>RBAC；查看/修改权限分离；人工变更记录原因和操作人</x:v>
      </x:c>
      <x:c r="R256" s="13" t="str">
        <x:v>重试/调点使用唯一业务键；审计不可修改且不进入个人数据导出</x:v>
      </x:c>
    </x:row>
    <x:row r="257" ht="68" customHeight="1">
      <x:c r="A257" s="13" t="str">
        <x:v>第 3 期</x:v>
      </x:c>
      <x:c r="B257" s="13" t="str">
        <x:v>5. 最小运营支持</x:v>
      </x:c>
      <x:c r="C257" s="13" t="str">
        <x:v>OPS-002/003</x:v>
      </x:c>
      <x:c r="D257" s="13" t="str">
        <x:v>最小运营API</x:v>
      </x:c>
      <x:c r="E257" s="13" t="str">
        <x:v>BE-OPS-06</x:v>
      </x:c>
      <x:c r="F257" s="13" t="str">
        <x:v>后端</x:v>
      </x:c>
      <x:c r="G257" s="13" t="str">
        <x:v>实现人工调点</x:v>
      </x:c>
      <x:c r="H257" s="13" t="str">
        <x:v>用户、amount、reason、idempotencyKey</x:v>
      </x:c>
      <x:c r="I257" s="13" t="str">
        <x:v>余额+账本同事务</x:v>
      </x:c>
      <x:c r="J257" s="13" t="str">
        <x:v>—</x:v>
      </x:c>
      <x:c r="K257" s="13" t="str">
        <x:v>待完成</x:v>
      </x:c>
      <x:c r="L257" s="13" t="str">
        <x:v>09-20～09-22</x:v>
      </x:c>
      <x:c r="M257" s="13" t="str">
        <x:v>—</x:v>
      </x:c>
      <x:c r="N257" s="13" t="str">
        <x:v>audit_id；actor_user_id；target_type+target_id；任务UUID或业务订单号</x:v>
      </x:c>
      <x:c r="O257" s="13" t="str">
        <x:v>operation requested/succeeded/failed；业务对象仍遵循自身状态机</x:v>
      </x:c>
      <x:c r="P257" s="13" t="str">
        <x:v>管理员越权、重复重试、重复调点、目标不存在、外部处理中</x:v>
      </x:c>
      <x:c r="Q257" s="13" t="str">
        <x:v>RBAC；查看/修改权限分离；人工变更记录原因和操作人</x:v>
      </x:c>
      <x:c r="R257" s="13" t="str">
        <x:v>重试/调点使用唯一业务键；审计不可修改且不进入个人数据导出</x:v>
      </x:c>
    </x:row>
    <x:row r="258" ht="68" customHeight="1">
      <x:c r="A258" s="13" t="str">
        <x:v>第 3 期</x:v>
      </x:c>
      <x:c r="B258" s="13" t="str">
        <x:v>5. 最小运营支持</x:v>
      </x:c>
      <x:c r="C258" s="13" t="str">
        <x:v>OPS-002/003</x:v>
      </x:c>
      <x:c r="D258" s="13" t="str">
        <x:v>最小运营API</x:v>
      </x:c>
      <x:c r="E258" s="13" t="str">
        <x:v>BE-OPS-07</x:v>
      </x:c>
      <x:c r="F258" s="13" t="str">
        <x:v>后端</x:v>
      </x:c>
      <x:c r="G258" s="13" t="str">
        <x:v>阻止重复人工调点</x:v>
      </x:c>
      <x:c r="H258" s="13" t="str">
        <x:v>唯一业务键</x:v>
      </x:c>
      <x:c r="I258" s="13" t="str">
        <x:v>重放不改变余额</x:v>
      </x:c>
      <x:c r="J258" s="13" t="str">
        <x:v>—</x:v>
      </x:c>
      <x:c r="K258" s="13" t="str">
        <x:v>待完成</x:v>
      </x:c>
      <x:c r="L258" s="13" t="str">
        <x:v>09-20～09-22</x:v>
      </x:c>
      <x:c r="M258" s="13" t="str">
        <x:v>—</x:v>
      </x:c>
      <x:c r="N258" s="13" t="str">
        <x:v>audit_id；actor_user_id；target_type+target_id；任务UUID或业务订单号</x:v>
      </x:c>
      <x:c r="O258" s="13" t="str">
        <x:v>operation requested/succeeded/failed；业务对象仍遵循自身状态机</x:v>
      </x:c>
      <x:c r="P258" s="13" t="str">
        <x:v>管理员越权、重复重试、重复调点、目标不存在、外部处理中</x:v>
      </x:c>
      <x:c r="Q258" s="13" t="str">
        <x:v>RBAC；查看/修改权限分离；人工变更记录原因和操作人</x:v>
      </x:c>
      <x:c r="R258" s="13" t="str">
        <x:v>重试/调点使用唯一业务键；审计不可修改且不进入个人数据导出</x:v>
      </x:c>
    </x:row>
    <x:row r="259" ht="68" customHeight="1">
      <x:c r="A259" s="13" t="str">
        <x:v>第 3 期</x:v>
      </x:c>
      <x:c r="B259" s="13" t="str">
        <x:v>5. 最小运营支持</x:v>
      </x:c>
      <x:c r="C259" s="13" t="str">
        <x:v>OPS-002/003</x:v>
      </x:c>
      <x:c r="D259" s="13" t="str">
        <x:v>最小运营API</x:v>
      </x:c>
      <x:c r="E259" s="13" t="str">
        <x:v>BE-OPS-08</x:v>
      </x:c>
      <x:c r="F259" s="13" t="str">
        <x:v>后端</x:v>
      </x:c>
      <x:c r="G259" s="13" t="str">
        <x:v>记录每次运营操作</x:v>
      </x:c>
      <x:c r="H259" s="13" t="str">
        <x:v>成功/失败结果和目标</x:v>
      </x:c>
      <x:c r="I259" s="13" t="str">
        <x:v>审计可按目标查询</x:v>
      </x:c>
      <x:c r="J259" s="13" t="str">
        <x:v>—</x:v>
      </x:c>
      <x:c r="K259" s="13" t="str">
        <x:v>待完成</x:v>
      </x:c>
      <x:c r="L259" s="13" t="str">
        <x:v>09-20～09-22</x:v>
      </x:c>
      <x:c r="M259" s="13" t="str">
        <x:v>—</x:v>
      </x:c>
      <x:c r="N259" s="13" t="str">
        <x:v>audit_id；actor_user_id；target_type+target_id；任务UUID或业务订单号</x:v>
      </x:c>
      <x:c r="O259" s="13" t="str">
        <x:v>operation requested/succeeded/failed；业务对象仍遵循自身状态机</x:v>
      </x:c>
      <x:c r="P259" s="13" t="str">
        <x:v>管理员越权、重复重试、重复调点、目标不存在、外部处理中</x:v>
      </x:c>
      <x:c r="Q259" s="13" t="str">
        <x:v>RBAC；查看/修改权限分离；人工变更记录原因和操作人</x:v>
      </x:c>
      <x:c r="R259" s="13" t="str">
        <x:v>重试/调点使用唯一业务键；审计不可修改且不进入个人数据导出</x:v>
      </x:c>
    </x:row>
    <x:row r="260" ht="68" customHeight="1">
      <x:c r="A260" s="13" t="str">
        <x:v>第 3 期</x:v>
      </x:c>
      <x:c r="B260" s="13" t="str">
        <x:v>6. 平台、工程与上线</x:v>
      </x:c>
      <x:c r="C260" s="13" t="str">
        <x:v>INF-001/002</x:v>
      </x:c>
      <x:c r="D260" s="13" t="str">
        <x:v>云部署与可观测性</x:v>
      </x:c>
      <x:c r="E260" s="13" t="str">
        <x:v>BE-DEPLOY-01</x:v>
      </x:c>
      <x:c r="F260" s="13" t="str">
        <x:v>后端</x:v>
      </x:c>
      <x:c r="G260" s="13" t="str">
        <x:v>配置Vercel生产Web</x:v>
      </x:c>
      <x:c r="H260" s="13" t="str">
        <x:v>构建命令、环境变量、域名</x:v>
      </x:c>
      <x:c r="I260" s="13" t="str">
        <x:v>健康接口可访问</x:v>
      </x:c>
      <x:c r="J260" s="13" t="str">
        <x:v>—</x:v>
      </x:c>
      <x:c r="K260" s="13" t="str">
        <x:v>待完成</x:v>
      </x:c>
      <x:c r="L260" s="13" t="str">
        <x:v>09-22～09-24</x:v>
      </x:c>
      <x:c r="M260" s="13" t="str">
        <x:v>—</x:v>
      </x:c>
      <x:c r="N260" s="13" t="str">
        <x:v>配置/Skill/模型/部署版本；provider request ID；环境标识</x:v>
      </x:c>
      <x:c r="O260" s="13" t="str">
        <x:v>服务health；配置启停；队列queued/processing/DLQ</x:v>
      </x:c>
      <x:c r="P260" s="13" t="str">
        <x:v>配置缺失、密钥无效、限流、部署失败、队列积压、重复定时任务</x:v>
      </x:c>
      <x:c r="Q260" s="13" t="str">
        <x:v>环境隔离、最小权限、生产审计、日志脱敏</x:v>
      </x:c>
      <x:c r="R260" s="13" t="str">
        <x:v>部署可回滚；Worker/清理任务可重入；密钥不入库不导出</x:v>
      </x:c>
    </x:row>
    <x:row r="261" ht="68" customHeight="1">
      <x:c r="A261" s="13" t="str">
        <x:v>第 3 期</x:v>
      </x:c>
      <x:c r="B261" s="13" t="str">
        <x:v>6. 平台、工程与上线</x:v>
      </x:c>
      <x:c r="C261" s="13" t="str">
        <x:v>INF-001/002</x:v>
      </x:c>
      <x:c r="D261" s="13" t="str">
        <x:v>云部署与可观测性</x:v>
      </x:c>
      <x:c r="E261" s="13" t="str">
        <x:v>BE-DEPLOY-02</x:v>
      </x:c>
      <x:c r="F261" s="13" t="str">
        <x:v>后端</x:v>
      </x:c>
      <x:c r="G261" s="13" t="str">
        <x:v>配置Supabase生产项目</x:v>
      </x:c>
      <x:c r="H261" s="13" t="str">
        <x:v>迁移、RLS、私有Bucket</x:v>
      </x:c>
      <x:c r="I261" s="13" t="str">
        <x:v>无公开生成资产</x:v>
      </x:c>
      <x:c r="J261" s="13" t="str">
        <x:v>—</x:v>
      </x:c>
      <x:c r="K261" s="13" t="str">
        <x:v>待完成</x:v>
      </x:c>
      <x:c r="L261" s="13" t="str">
        <x:v>09-22～09-24</x:v>
      </x:c>
      <x:c r="M261" s="13" t="str">
        <x:v>—</x:v>
      </x:c>
      <x:c r="N261" s="13" t="str">
        <x:v>配置/Skill/模型/部署版本；provider request ID；环境标识</x:v>
      </x:c>
      <x:c r="O261" s="13" t="str">
        <x:v>服务health；配置启停；队列queued/processing/DLQ</x:v>
      </x:c>
      <x:c r="P261" s="13" t="str">
        <x:v>配置缺失、密钥无效、限流、部署失败、队列积压、重复定时任务</x:v>
      </x:c>
      <x:c r="Q261" s="13" t="str">
        <x:v>环境隔离、最小权限、生产审计、日志脱敏</x:v>
      </x:c>
      <x:c r="R261" s="13" t="str">
        <x:v>部署可回滚；Worker/清理任务可重入；密钥不入库不导出</x:v>
      </x:c>
    </x:row>
    <x:row r="262" ht="68" customHeight="1">
      <x:c r="A262" s="13" t="str">
        <x:v>第 3 期</x:v>
      </x:c>
      <x:c r="B262" s="13" t="str">
        <x:v>6. 平台、工程与上线</x:v>
      </x:c>
      <x:c r="C262" s="13" t="str">
        <x:v>INF-001/002</x:v>
      </x:c>
      <x:c r="D262" s="13" t="str">
        <x:v>云部署与可观测性</x:v>
      </x:c>
      <x:c r="E262" s="13" t="str">
        <x:v>BE-DEPLOY-03</x:v>
      </x:c>
      <x:c r="F262" s="13" t="str">
        <x:v>后端</x:v>
      </x:c>
      <x:c r="G262" s="13" t="str">
        <x:v>配置AWS SQS和DLQ</x:v>
      </x:c>
      <x:c r="H262" s="13" t="str">
        <x:v>可见性超时和重试次数</x:v>
      </x:c>
      <x:c r="I262" s="13" t="str">
        <x:v>失败消息进入DLQ</x:v>
      </x:c>
      <x:c r="J262" s="13" t="str">
        <x:v>—</x:v>
      </x:c>
      <x:c r="K262" s="13" t="str">
        <x:v>待完成</x:v>
      </x:c>
      <x:c r="L262" s="13" t="str">
        <x:v>09-22～09-24</x:v>
      </x:c>
      <x:c r="M262" s="13" t="str">
        <x:v>—</x:v>
      </x:c>
      <x:c r="N262" s="13" t="str">
        <x:v>配置/Skill/模型/部署版本；provider request ID；环境标识</x:v>
      </x:c>
      <x:c r="O262" s="13" t="str">
        <x:v>服务health；配置启停；队列queued/processing/DLQ</x:v>
      </x:c>
      <x:c r="P262" s="13" t="str">
        <x:v>配置缺失、密钥无效、限流、部署失败、队列积压、重复定时任务</x:v>
      </x:c>
      <x:c r="Q262" s="13" t="str">
        <x:v>环境隔离、最小权限、生产审计、日志脱敏</x:v>
      </x:c>
      <x:c r="R262" s="13" t="str">
        <x:v>部署可回滚；Worker/清理任务可重入；密钥不入库不导出</x:v>
      </x:c>
    </x:row>
    <x:row r="263" ht="68" customHeight="1">
      <x:c r="A263" s="13" t="str">
        <x:v>第 3 期</x:v>
      </x:c>
      <x:c r="B263" s="13" t="str">
        <x:v>6. 平台、工程与上线</x:v>
      </x:c>
      <x:c r="C263" s="13" t="str">
        <x:v>INF-001/002</x:v>
      </x:c>
      <x:c r="D263" s="13" t="str">
        <x:v>云部署与可观测性</x:v>
      </x:c>
      <x:c r="E263" s="13" t="str">
        <x:v>BE-DEPLOY-04</x:v>
      </x:c>
      <x:c r="F263" s="13" t="str">
        <x:v>后端</x:v>
      </x:c>
      <x:c r="G263" s="13" t="str">
        <x:v>部署Lambda Worker</x:v>
      </x:c>
      <x:c r="H263" s="13" t="str">
        <x:v>内存、超时、并发限制</x:v>
      </x:c>
      <x:c r="I263" s="13" t="str">
        <x:v>单任务成本和超时可控</x:v>
      </x:c>
      <x:c r="J263" s="13" t="str">
        <x:v>—</x:v>
      </x:c>
      <x:c r="K263" s="13" t="str">
        <x:v>待完成</x:v>
      </x:c>
      <x:c r="L263" s="13" t="str">
        <x:v>09-22～09-24</x:v>
      </x:c>
      <x:c r="M263" s="13" t="str">
        <x:v>—</x:v>
      </x:c>
      <x:c r="N263" s="13" t="str">
        <x:v>配置/Skill/模型/部署版本；provider request ID；环境标识</x:v>
      </x:c>
      <x:c r="O263" s="13" t="str">
        <x:v>服务health；配置启停；队列queued/processing/DLQ</x:v>
      </x:c>
      <x:c r="P263" s="13" t="str">
        <x:v>配置缺失、密钥无效、限流、部署失败、队列积压、重复定时任务</x:v>
      </x:c>
      <x:c r="Q263" s="13" t="str">
        <x:v>环境隔离、最小权限、生产审计、日志脱敏</x:v>
      </x:c>
      <x:c r="R263" s="13" t="str">
        <x:v>部署可回滚；Worker/清理任务可重入；密钥不入库不导出</x:v>
      </x:c>
    </x:row>
    <x:row r="264" ht="68" customHeight="1">
      <x:c r="A264" s="13" t="str">
        <x:v>第 3 期</x:v>
      </x:c>
      <x:c r="B264" s="13" t="str">
        <x:v>6. 平台、工程与上线</x:v>
      </x:c>
      <x:c r="C264" s="13" t="str">
        <x:v>INF-001/002</x:v>
      </x:c>
      <x:c r="D264" s="13" t="str">
        <x:v>云部署与可观测性</x:v>
      </x:c>
      <x:c r="E264" s="13" t="str">
        <x:v>BE-DEPLOY-05</x:v>
      </x:c>
      <x:c r="F264" s="13" t="str">
        <x:v>后端</x:v>
      </x:c>
      <x:c r="G264" s="13" t="str">
        <x:v>配置服务端Secrets</x:v>
      </x:c>
      <x:c r="H264" s="13" t="str">
        <x:v>OpenAI/Stripe/Supabase/AWS</x:v>
      </x:c>
      <x:c r="I264" s="13" t="str">
        <x:v>浏览器和仓库无密钥</x:v>
      </x:c>
      <x:c r="J264" s="13" t="str">
        <x:v>—</x:v>
      </x:c>
      <x:c r="K264" s="13" t="str">
        <x:v>待完成</x:v>
      </x:c>
      <x:c r="L264" s="13" t="str">
        <x:v>09-22～09-24</x:v>
      </x:c>
      <x:c r="M264" s="13" t="str">
        <x:v>—</x:v>
      </x:c>
      <x:c r="N264" s="13" t="str">
        <x:v>配置/Skill/模型/部署版本；provider request ID；环境标识</x:v>
      </x:c>
      <x:c r="O264" s="13" t="str">
        <x:v>服务health；配置启停；队列queued/processing/DLQ</x:v>
      </x:c>
      <x:c r="P264" s="13" t="str">
        <x:v>配置缺失、密钥无效、限流、部署失败、队列积压、重复定时任务</x:v>
      </x:c>
      <x:c r="Q264" s="13" t="str">
        <x:v>环境隔离、最小权限、生产审计、日志脱敏</x:v>
      </x:c>
      <x:c r="R264" s="13" t="str">
        <x:v>部署可回滚；Worker/清理任务可重入；密钥不入库不导出</x:v>
      </x:c>
    </x:row>
    <x:row r="265" ht="68" customHeight="1">
      <x:c r="A265" s="13" t="str">
        <x:v>第 3 期</x:v>
      </x:c>
      <x:c r="B265" s="13" t="str">
        <x:v>6. 平台、工程与上线</x:v>
      </x:c>
      <x:c r="C265" s="13" t="str">
        <x:v>INF-001/002</x:v>
      </x:c>
      <x:c r="D265" s="13" t="str">
        <x:v>云部署与可观测性</x:v>
      </x:c>
      <x:c r="E265" s="13" t="str">
        <x:v>BE-DEPLOY-06</x:v>
      </x:c>
      <x:c r="F265" s="13" t="str">
        <x:v>后端</x:v>
      </x:c>
      <x:c r="G265" s="13" t="str">
        <x:v>建立结构化日志</x:v>
      </x:c>
      <x:c r="H265" s="13" t="str">
        <x:v>对象ID、阶段、耗时、错误码</x:v>
      </x:c>
      <x:c r="I265" s="13" t="str">
        <x:v>不记录完整Prompt/支付信息/密钥</x:v>
      </x:c>
      <x:c r="J265" s="13" t="str">
        <x:v>—</x:v>
      </x:c>
      <x:c r="K265" s="13" t="str">
        <x:v>待完成</x:v>
      </x:c>
      <x:c r="L265" s="13" t="str">
        <x:v>09-22～09-24</x:v>
      </x:c>
      <x:c r="M265" s="13" t="str">
        <x:v>—</x:v>
      </x:c>
      <x:c r="N265" s="13" t="str">
        <x:v>配置/Skill/模型/部署版本；provider request ID；环境标识</x:v>
      </x:c>
      <x:c r="O265" s="13" t="str">
        <x:v>服务health；配置启停；队列queued/processing/DLQ</x:v>
      </x:c>
      <x:c r="P265" s="13" t="str">
        <x:v>配置缺失、密钥无效、限流、部署失败、队列积压、重复定时任务</x:v>
      </x:c>
      <x:c r="Q265" s="13" t="str">
        <x:v>环境隔离、最小权限、生产审计、日志脱敏</x:v>
      </x:c>
      <x:c r="R265" s="13" t="str">
        <x:v>部署可回滚；Worker/清理任务可重入；密钥不入库不导出</x:v>
      </x:c>
    </x:row>
    <x:row r="266" ht="68" customHeight="1">
      <x:c r="A266" s="13" t="str">
        <x:v>第 3 期</x:v>
      </x:c>
      <x:c r="B266" s="13" t="str">
        <x:v>6. 平台、工程与上线</x:v>
      </x:c>
      <x:c r="C266" s="13" t="str">
        <x:v>INF-001/002</x:v>
      </x:c>
      <x:c r="D266" s="13" t="str">
        <x:v>云部署与可观测性</x:v>
      </x:c>
      <x:c r="E266" s="13" t="str">
        <x:v>BE-DEPLOY-07</x:v>
      </x:c>
      <x:c r="F266" s="13" t="str">
        <x:v>后端</x:v>
      </x:c>
      <x:c r="G266" s="13" t="str">
        <x:v>建立关键告警</x:v>
      </x:c>
      <x:c r="H266" s="13" t="str">
        <x:v>DLQ、Webhook失败、余额异常、清理失败</x:v>
      </x:c>
      <x:c r="I266" s="13" t="str">
        <x:v>告警包含可定位ID</x:v>
      </x:c>
      <x:c r="J266" s="13" t="str">
        <x:v>—</x:v>
      </x:c>
      <x:c r="K266" s="13" t="str">
        <x:v>待完成</x:v>
      </x:c>
      <x:c r="L266" s="13" t="str">
        <x:v>09-22～09-24</x:v>
      </x:c>
      <x:c r="M266" s="13" t="str">
        <x:v>—</x:v>
      </x:c>
      <x:c r="N266" s="13" t="str">
        <x:v>配置/Skill/模型/部署版本；provider request ID；环境标识</x:v>
      </x:c>
      <x:c r="O266" s="13" t="str">
        <x:v>服务health；配置启停；队列queued/processing/DLQ</x:v>
      </x:c>
      <x:c r="P266" s="13" t="str">
        <x:v>配置缺失、密钥无效、限流、部署失败、队列积压、重复定时任务</x:v>
      </x:c>
      <x:c r="Q266" s="13" t="str">
        <x:v>环境隔离、最小权限、生产审计、日志脱敏</x:v>
      </x:c>
      <x:c r="R266" s="13" t="str">
        <x:v>部署可回滚；Worker/清理任务可重入；密钥不入库不导出</x:v>
      </x:c>
    </x:row>
    <x:row r="267" ht="68" customHeight="1">
      <x:c r="A267" s="13" t="str">
        <x:v>第 3 期</x:v>
      </x:c>
      <x:c r="B267" s="13" t="str">
        <x:v>6. 平台、工程与上线</x:v>
      </x:c>
      <x:c r="C267" s="13" t="str">
        <x:v>INF-001/002</x:v>
      </x:c>
      <x:c r="D267" s="13" t="str">
        <x:v>云部署与可观测性</x:v>
      </x:c>
      <x:c r="E267" s="13" t="str">
        <x:v>BE-DEPLOY-08</x:v>
      </x:c>
      <x:c r="F267" s="13" t="str">
        <x:v>后端</x:v>
      </x:c>
      <x:c r="G267" s="13" t="str">
        <x:v>编写回滚步骤</x:v>
      </x:c>
      <x:c r="H267" s="13" t="str">
        <x:v>Web/迁移/Worker回滚手册</x:v>
      </x:c>
      <x:c r="I267" s="13" t="str">
        <x:v>演练可恢复上一版本</x:v>
      </x:c>
      <x:c r="J267" s="13" t="str">
        <x:v>—</x:v>
      </x:c>
      <x:c r="K267" s="13" t="str">
        <x:v>待完成</x:v>
      </x:c>
      <x:c r="L267" s="13" t="str">
        <x:v>09-22～09-24</x:v>
      </x:c>
      <x:c r="M267" s="13" t="str">
        <x:v>—</x:v>
      </x:c>
      <x:c r="N267" s="13" t="str">
        <x:v>配置/Skill/模型/部署版本；provider request ID；环境标识</x:v>
      </x:c>
      <x:c r="O267" s="13" t="str">
        <x:v>服务health；配置启停；队列queued/processing/DLQ</x:v>
      </x:c>
      <x:c r="P267" s="13" t="str">
        <x:v>配置缺失、密钥无效、限流、部署失败、队列积压、重复定时任务</x:v>
      </x:c>
      <x:c r="Q267" s="13" t="str">
        <x:v>环境隔离、最小权限、生产审计、日志脱敏</x:v>
      </x:c>
      <x:c r="R267" s="13" t="str">
        <x:v>部署可回滚；Worker/清理任务可重入；密钥不入库不导出</x:v>
      </x:c>
    </x:row>
    <x:row r="268" ht="68" customHeight="1">
      <x:c r="A268" s="13" t="str">
        <x:v>第 3 期</x:v>
      </x:c>
      <x:c r="B268" s="13" t="str">
        <x:v>6. 平台、工程与上线</x:v>
      </x:c>
      <x:c r="C268" s="13" t="str">
        <x:v>QA-BE</x:v>
      </x:c>
      <x:c r="D268" s="13" t="str">
        <x:v>后端安全与E2E验收</x:v>
      </x:c>
      <x:c r="E268" s="13" t="str">
        <x:v>BE-QA-01</x:v>
      </x:c>
      <x:c r="F268" s="13" t="str">
        <x:v>后端</x:v>
      </x:c>
      <x:c r="G268" s="13" t="str">
        <x:v>测试RLS越权</x:v>
      </x:c>
      <x:c r="H268" s="13" t="str">
        <x:v>账户、任务、资产、订单、账本</x:v>
      </x:c>
      <x:c r="I268" s="13" t="str">
        <x:v>跨用户访问全部拒绝</x:v>
      </x:c>
      <x:c r="J268" s="13" t="str">
        <x:v>—</x:v>
      </x:c>
      <x:c r="K268" s="13" t="str">
        <x:v>待完成</x:v>
      </x:c>
      <x:c r="L268" s="13" t="str">
        <x:v>09-24～09-27</x:v>
      </x:c>
      <x:c r="M268" s="13" t="str">
        <x:v>—</x:v>
      </x:c>
      <x:c r="N268" s="13" t="str">
        <x:v>配置/Skill/模型/部署版本；provider request ID；环境标识</x:v>
      </x:c>
      <x:c r="O268" s="13" t="str">
        <x:v>服务health；配置启停；队列queued/processing/DLQ</x:v>
      </x:c>
      <x:c r="P268" s="13" t="str">
        <x:v>配置缺失、密钥无效、限流、部署失败、队列积压、重复定时任务</x:v>
      </x:c>
      <x:c r="Q268" s="13" t="str">
        <x:v>环境隔离、最小权限、生产审计、日志脱敏</x:v>
      </x:c>
      <x:c r="R268" s="13" t="str">
        <x:v>部署可回滚；Worker/清理任务可重入；密钥不入库不导出</x:v>
      </x:c>
    </x:row>
    <x:row r="269" ht="68" customHeight="1">
      <x:c r="A269" s="13" t="str">
        <x:v>第 3 期</x:v>
      </x:c>
      <x:c r="B269" s="13" t="str">
        <x:v>6. 平台、工程与上线</x:v>
      </x:c>
      <x:c r="C269" s="13" t="str">
        <x:v>QA-BE</x:v>
      </x:c>
      <x:c r="D269" s="13" t="str">
        <x:v>后端安全与E2E验收</x:v>
      </x:c>
      <x:c r="E269" s="13" t="str">
        <x:v>BE-QA-02</x:v>
      </x:c>
      <x:c r="F269" s="13" t="str">
        <x:v>后端</x:v>
      </x:c>
      <x:c r="G269" s="13" t="str">
        <x:v>测试幂等矩阵</x:v>
      </x:c>
      <x:c r="H269" s="13" t="str">
        <x:v>注册赠点、建任务、扣点、归档、下单、Webhook、调点</x:v>
      </x:c>
      <x:c r="I269" s="13" t="str">
        <x:v>每种重复请求副作用一次</x:v>
      </x:c>
      <x:c r="J269" s="13" t="str">
        <x:v>—</x:v>
      </x:c>
      <x:c r="K269" s="13" t="str">
        <x:v>待完成</x:v>
      </x:c>
      <x:c r="L269" s="13" t="str">
        <x:v>09-24～09-27</x:v>
      </x:c>
      <x:c r="M269" s="13" t="str">
        <x:v>—</x:v>
      </x:c>
      <x:c r="N269" s="13" t="str">
        <x:v>配置/Skill/模型/部署版本；provider request ID；环境标识</x:v>
      </x:c>
      <x:c r="O269" s="13" t="str">
        <x:v>服务health；配置启停；队列queued/processing/DLQ</x:v>
      </x:c>
      <x:c r="P269" s="13" t="str">
        <x:v>配置缺失、密钥无效、限流、部署失败、队列积压、重复定时任务</x:v>
      </x:c>
      <x:c r="Q269" s="13" t="str">
        <x:v>环境隔离、最小权限、生产审计、日志脱敏</x:v>
      </x:c>
      <x:c r="R269" s="13" t="str">
        <x:v>部署可回滚；Worker/清理任务可重入；密钥不入库不导出</x:v>
      </x:c>
    </x:row>
    <x:row r="270" ht="68" customHeight="1">
      <x:c r="A270" s="13" t="str">
        <x:v>第 3 期</x:v>
      </x:c>
      <x:c r="B270" s="13" t="str">
        <x:v>6. 平台、工程与上线</x:v>
      </x:c>
      <x:c r="C270" s="13" t="str">
        <x:v>QA-BE</x:v>
      </x:c>
      <x:c r="D270" s="13" t="str">
        <x:v>后端安全与E2E验收</x:v>
      </x:c>
      <x:c r="E270" s="13" t="str">
        <x:v>BE-QA-03</x:v>
      </x:c>
      <x:c r="F270" s="13" t="str">
        <x:v>后端</x:v>
      </x:c>
      <x:c r="G270" s="13" t="str">
        <x:v>测试事务回滚</x:v>
      </x:c>
      <x:c r="H270" s="13" t="str">
        <x:v>扣点/建任务/入账/返还中途失败</x:v>
      </x:c>
      <x:c r="I270" s="13" t="str">
        <x:v>余额和账本无不一致</x:v>
      </x:c>
      <x:c r="J270" s="13" t="str">
        <x:v>—</x:v>
      </x:c>
      <x:c r="K270" s="13" t="str">
        <x:v>待完成</x:v>
      </x:c>
      <x:c r="L270" s="13" t="str">
        <x:v>09-24～09-27</x:v>
      </x:c>
      <x:c r="M270" s="13" t="str">
        <x:v>—</x:v>
      </x:c>
      <x:c r="N270" s="13" t="str">
        <x:v>配置/Skill/模型/部署版本；provider request ID；环境标识</x:v>
      </x:c>
      <x:c r="O270" s="13" t="str">
        <x:v>服务health；配置启停；队列queued/processing/DLQ</x:v>
      </x:c>
      <x:c r="P270" s="13" t="str">
        <x:v>配置缺失、密钥无效、限流、部署失败、队列积压、重复定时任务</x:v>
      </x:c>
      <x:c r="Q270" s="13" t="str">
        <x:v>环境隔离、最小权限、生产审计、日志脱敏</x:v>
      </x:c>
      <x:c r="R270" s="13" t="str">
        <x:v>部署可回滚；Worker/清理任务可重入；密钥不入库不导出</x:v>
      </x:c>
    </x:row>
    <x:row r="271" ht="68" customHeight="1">
      <x:c r="A271" s="13" t="str">
        <x:v>第 3 期</x:v>
      </x:c>
      <x:c r="B271" s="13" t="str">
        <x:v>6. 平台、工程与上线</x:v>
      </x:c>
      <x:c r="C271" s="13" t="str">
        <x:v>QA-BE</x:v>
      </x:c>
      <x:c r="D271" s="13" t="str">
        <x:v>后端安全与E2E验收</x:v>
      </x:c>
      <x:c r="E271" s="13" t="str">
        <x:v>BE-QA-04</x:v>
      </x:c>
      <x:c r="F271" s="13" t="str">
        <x:v>后端</x:v>
      </x:c>
      <x:c r="G271" s="13" t="str">
        <x:v>测试完整商业闭环</x:v>
      </x:c>
      <x:c r="H271" s="13" t="str">
        <x:v>注册6点→生成→下载→购买→再生成</x:v>
      </x:c>
      <x:c r="I271" s="13" t="str">
        <x:v>对象ID和状态可追踪</x:v>
      </x:c>
      <x:c r="J271" s="13" t="str">
        <x:v>—</x:v>
      </x:c>
      <x:c r="K271" s="13" t="str">
        <x:v>待完成</x:v>
      </x:c>
      <x:c r="L271" s="13" t="str">
        <x:v>09-24～09-27</x:v>
      </x:c>
      <x:c r="M271" s="13" t="str">
        <x:v>—</x:v>
      </x:c>
      <x:c r="N271" s="13" t="str">
        <x:v>配置/Skill/模型/部署版本；provider request ID；环境标识</x:v>
      </x:c>
      <x:c r="O271" s="13" t="str">
        <x:v>服务health；配置启停；队列queued/processing/DLQ</x:v>
      </x:c>
      <x:c r="P271" s="13" t="str">
        <x:v>配置缺失、密钥无效、限流、部署失败、队列积压、重复定时任务</x:v>
      </x:c>
      <x:c r="Q271" s="13" t="str">
        <x:v>环境隔离、最小权限、生产审计、日志脱敏</x:v>
      </x:c>
      <x:c r="R271" s="13" t="str">
        <x:v>部署可回滚；Worker/清理任务可重入；密钥不入库不导出</x:v>
      </x:c>
    </x:row>
    <x:row r="272" ht="68" customHeight="1">
      <x:c r="A272" s="13" t="str">
        <x:v>第 3 期</x:v>
      </x:c>
      <x:c r="B272" s="13" t="str">
        <x:v>6. 平台、工程与上线</x:v>
      </x:c>
      <x:c r="C272" s="13" t="str">
        <x:v>QA-BE</x:v>
      </x:c>
      <x:c r="D272" s="13" t="str">
        <x:v>后端安全与E2E验收</x:v>
      </x:c>
      <x:c r="E272" s="13" t="str">
        <x:v>BE-QA-05</x:v>
      </x:c>
      <x:c r="F272" s="13" t="str">
        <x:v>后端</x:v>
      </x:c>
      <x:c r="G272" s="13" t="str">
        <x:v>测试删除与导出</x:v>
      </x:c>
      <x:c r="H272" s="13" t="str">
        <x:v>申请→导出→撤销/到期执行</x:v>
      </x:c>
      <x:c r="I272" s="13" t="str">
        <x:v>ZIP内容和会话失效正确</x:v>
      </x:c>
      <x:c r="J272" s="13" t="str">
        <x:v>—</x:v>
      </x:c>
      <x:c r="K272" s="13" t="str">
        <x:v>待完成</x:v>
      </x:c>
      <x:c r="L272" s="13" t="str">
        <x:v>09-24～09-27</x:v>
      </x:c>
      <x:c r="M272" s="13" t="str">
        <x:v>—</x:v>
      </x:c>
      <x:c r="N272" s="13" t="str">
        <x:v>配置/Skill/模型/部署版本；provider request ID；环境标识</x:v>
      </x:c>
      <x:c r="O272" s="13" t="str">
        <x:v>服务health；配置启停；队列queued/processing/DLQ</x:v>
      </x:c>
      <x:c r="P272" s="13" t="str">
        <x:v>配置缺失、密钥无效、限流、部署失败、队列积压、重复定时任务</x:v>
      </x:c>
      <x:c r="Q272" s="13" t="str">
        <x:v>环境隔离、最小权限、生产审计、日志脱敏</x:v>
      </x:c>
      <x:c r="R272" s="13" t="str">
        <x:v>部署可回滚；Worker/清理任务可重入；密钥不入库不导出</x:v>
      </x:c>
    </x:row>
    <x:row r="273" ht="68" customHeight="1">
      <x:c r="A273" s="13" t="str">
        <x:v>第 3 期</x:v>
      </x:c>
      <x:c r="B273" s="13" t="str">
        <x:v>6. 平台、工程与上线</x:v>
      </x:c>
      <x:c r="C273" s="13" t="str">
        <x:v>QA-BE</x:v>
      </x:c>
      <x:c r="D273" s="13" t="str">
        <x:v>后端安全与E2E验收</x:v>
      </x:c>
      <x:c r="E273" s="13" t="str">
        <x:v>BE-QA-06</x:v>
      </x:c>
      <x:c r="F273" s="13" t="str">
        <x:v>后端</x:v>
      </x:c>
      <x:c r="G273" s="13" t="str">
        <x:v>执行敏感信息扫描</x:v>
      </x:c>
      <x:c r="H273" s="13" t="str">
        <x:v>日志、响应、ZIP、仓库</x:v>
      </x:c>
      <x:c r="I273" s="13" t="str">
        <x:v>无API Key、卡数据、完整Prompt</x:v>
      </x:c>
      <x:c r="J273" s="13" t="str">
        <x:v>—</x:v>
      </x:c>
      <x:c r="K273" s="13" t="str">
        <x:v>待完成</x:v>
      </x:c>
      <x:c r="L273" s="13" t="str">
        <x:v>09-24～09-27</x:v>
      </x:c>
      <x:c r="M273" s="13" t="str">
        <x:v>—</x:v>
      </x:c>
      <x:c r="N273" s="13" t="str">
        <x:v>配置/Skill/模型/部署版本；provider request ID；环境标识</x:v>
      </x:c>
      <x:c r="O273" s="13" t="str">
        <x:v>服务health；配置启停；队列queued/processing/DLQ</x:v>
      </x:c>
      <x:c r="P273" s="13" t="str">
        <x:v>配置缺失、密钥无效、限流、部署失败、队列积压、重复定时任务</x:v>
      </x:c>
      <x:c r="Q273" s="13" t="str">
        <x:v>环境隔离、最小权限、生产审计、日志脱敏</x:v>
      </x:c>
      <x:c r="R273" s="13" t="str">
        <x:v>部署可回滚；Worker/清理任务可重入；密钥不入库不导出</x:v>
      </x:c>
    </x:row>
    <x:row r="274" ht="68" customHeight="1">
      <x:c r="A274" s="13" t="str">
        <x:v>第 3 期</x:v>
      </x:c>
      <x:c r="B274" s="13" t="str">
        <x:v>6. 平台、工程与上线</x:v>
      </x:c>
      <x:c r="C274" s="13" t="str">
        <x:v>QA-BE</x:v>
      </x:c>
      <x:c r="D274" s="13" t="str">
        <x:v>后端安全与E2E验收</x:v>
      </x:c>
      <x:c r="E274" s="13" t="str">
        <x:v>BE-QA-07</x:v>
      </x:c>
      <x:c r="F274" s="13" t="str">
        <x:v>后端</x:v>
      </x:c>
      <x:c r="G274" s="13" t="str">
        <x:v>执行迁移回放</x:v>
      </x:c>
      <x:c r="H274" s="13" t="str">
        <x:v>空库和现有骨架库升级</x:v>
      </x:c>
      <x:c r="I274" s="13" t="str">
        <x:v>所有迁移顺序可重复验证</x:v>
      </x:c>
      <x:c r="J274" s="13" t="str">
        <x:v>—</x:v>
      </x:c>
      <x:c r="K274" s="13" t="str">
        <x:v>待完成</x:v>
      </x:c>
      <x:c r="L274" s="13" t="str">
        <x:v>09-24～09-27</x:v>
      </x:c>
      <x:c r="M274" s="13" t="str">
        <x:v>—</x:v>
      </x:c>
      <x:c r="N274" s="13" t="str">
        <x:v>配置/Skill/模型/部署版本；provider request ID；环境标识</x:v>
      </x:c>
      <x:c r="O274" s="13" t="str">
        <x:v>服务health；配置启停；队列queued/processing/DLQ</x:v>
      </x:c>
      <x:c r="P274" s="13" t="str">
        <x:v>配置缺失、密钥无效、限流、部署失败、队列积压、重复定时任务</x:v>
      </x:c>
      <x:c r="Q274" s="13" t="str">
        <x:v>环境隔离、最小权限、生产审计、日志脱敏</x:v>
      </x:c>
      <x:c r="R274" s="13" t="str">
        <x:v>部署可回滚；Worker/清理任务可重入；密钥不入库不导出</x:v>
      </x:c>
    </x:row>
    <x:row r="275">
      <x:c r="A275" t="str">
        <x:v>第 1 期</x:v>
      </x:c>
      <x:c r="B275" t="str">
        <x:v>1. 用户、登录与账户</x:v>
      </x:c>
      <x:c r="C275" t="str">
        <x:v>AUTH-E2E-TEAM</x:v>
      </x:c>
      <x:c r="D275" t="str">
        <x:v>团队邮箱联调</x:v>
      </x:c>
      <x:c r="E275" t="str">
        <x:v>BE-AUTH-E2E-01</x:v>
      </x:c>
      <x:c r="F275" t="str">
        <x:v>后端</x:v>
      </x:c>
      <x:c r="G275" t="str">
        <x:v>使用Supabase团队邮箱完成真实注册</x:v>
      </x:c>
      <x:c r="H275" t="str">
        <x:v>已创建的未验证测试用户</x:v>
      </x:c>
      <x:c r="I275" t="str">
        <x:v>Auth Users中出现唯一用户且未提前建立登录会话</x:v>
      </x:c>
      <x:c r="J275" t="str">
        <x:v>BE-AUTH-04</x:v>
      </x:c>
      <x:c r="K275" t="str">
        <x:v>待完成</x:v>
      </x:c>
      <x:c r="L275" t="str">
        <x:v>08-20</x:v>
      </x:c>
      <x:c r="M275" t="str">
        <x:v>—</x:v>
      </x:c>
      <x:c r="N275" t="str">
        <x:v>邮件服务商账号；发信域名；SMTP配置版本；邮箱供应商；测试用户ID</x:v>
      </x:c>
      <x:c r="O275" t="str">
        <x:v>domain_pending/domain_verified/smtp_pending/smtp_active；邮件sent/delivered/bounced/failed</x:v>
      </x:c>
      <x:c r="P275" t="str">
        <x:v>DNS未生效、SMTP鉴权失败、频率限制、邮件进垃圾箱、验证链接过期或回跳失败</x:v>
      </x:c>
      <x:c r="Q275" t="str">
        <x:v>SMTP密钥仅服务端保存；日志脱敏；CAPTCHA与速率限制；测试账号最小权限</x:v>
      </x:c>
      <x:c r="R275" t="str">
        <x:v>团队邮箱先联调；生产SMTP后置；邮件发送和验证操作可重试且不重复赠点</x:v>
      </x:c>
    </x:row>
    <x:row r="276">
      <x:c r="A276" t="str">
        <x:v>第 1 期</x:v>
      </x:c>
      <x:c r="B276" t="str">
        <x:v>1. 用户、登录与账户</x:v>
      </x:c>
      <x:c r="C276" t="str">
        <x:v>AUTH-E2E-TEAM</x:v>
      </x:c>
      <x:c r="D276" t="str">
        <x:v>团队邮箱联调</x:v>
      </x:c>
      <x:c r="E276" t="str">
        <x:v>BE-AUTH-E2E-02</x:v>
      </x:c>
      <x:c r="F276" t="str">
        <x:v>后端</x:v>
      </x:c>
      <x:c r="G276" t="str">
        <x:v>验证团队邮箱确认链接回调</x:v>
      </x:c>
      <x:c r="H276" t="str">
        <x:v>已验证测试用户与回调记录</x:v>
      </x:c>
      <x:c r="I276" t="str">
        <x:v>点击邮件链接后回到允许地址且email_confirmed_at有值</x:v>
      </x:c>
      <x:c r="J276" t="str">
        <x:v>BE-AUTH-E2E-01</x:v>
      </x:c>
      <x:c r="K276" t="str">
        <x:v>待完成</x:v>
      </x:c>
      <x:c r="L276" t="str">
        <x:v>08-20</x:v>
      </x:c>
      <x:c r="M276" t="str">
        <x:v>—</x:v>
      </x:c>
      <x:c r="N276" t="str">
        <x:v>邮件服务商账号；发信域名；SMTP配置版本；邮箱供应商；测试用户ID</x:v>
      </x:c>
      <x:c r="O276" t="str">
        <x:v>domain_pending/domain_verified/smtp_pending/smtp_active；邮件sent/delivered/bounced/failed</x:v>
      </x:c>
      <x:c r="P276" t="str">
        <x:v>DNS未生效、SMTP鉴权失败、频率限制、邮件进垃圾箱、验证链接过期或回跳失败</x:v>
      </x:c>
      <x:c r="Q276" t="str">
        <x:v>SMTP密钥仅服务端保存；日志脱敏；CAPTCHA与速率限制；测试账号最小权限</x:v>
      </x:c>
      <x:c r="R276" t="str">
        <x:v>团队邮箱先联调；生产SMTP后置；邮件发送和验证操作可重试且不重复赠点</x:v>
      </x:c>
    </x:row>
    <x:row r="277">
      <x:c r="A277" t="str">
        <x:v>第 1 期</x:v>
      </x:c>
      <x:c r="B277" t="str">
        <x:v>1. 用户、登录与账户</x:v>
      </x:c>
      <x:c r="C277" t="str">
        <x:v>AUTH-E2E-TEAM</x:v>
      </x:c>
      <x:c r="D277" t="str">
        <x:v>团队邮箱联调</x:v>
      </x:c>
      <x:c r="E277" t="str">
        <x:v>BE-AUTH-E2E-03</x:v>
      </x:c>
      <x:c r="F277" t="str">
        <x:v>后端</x:v>
      </x:c>
      <x:c r="G277" t="str">
        <x:v>核对首次登录与6点体验赠送</x:v>
      </x:c>
      <x:c r="H277" t="str">
        <x:v>登录会话、credit_accounts余额和signup_bonus账本</x:v>
      </x:c>
      <x:c r="I277" t="str">
        <x:v>登录成功；余额为6；重复登录不重复赠点</x:v>
      </x:c>
      <x:c r="J277" t="str">
        <x:v>BE-AUTH-E2E-02</x:v>
      </x:c>
      <x:c r="K277" t="str">
        <x:v>待完成</x:v>
      </x:c>
      <x:c r="L277" t="str">
        <x:v>08-20</x:v>
      </x:c>
      <x:c r="M277" t="str">
        <x:v>—</x:v>
      </x:c>
      <x:c r="N277" t="str">
        <x:v>邮件服务商账号；发信域名；SMTP配置版本；邮箱供应商；测试用户ID</x:v>
      </x:c>
      <x:c r="O277" t="str">
        <x:v>domain_pending/domain_verified/smtp_pending/smtp_active；邮件sent/delivered/bounced/failed</x:v>
      </x:c>
      <x:c r="P277" t="str">
        <x:v>DNS未生效、SMTP鉴权失败、频率限制、邮件进垃圾箱、验证链接过期或回跳失败</x:v>
      </x:c>
      <x:c r="Q277" t="str">
        <x:v>SMTP密钥仅服务端保存；日志脱敏；CAPTCHA与速率限制；测试账号最小权限</x:v>
      </x:c>
      <x:c r="R277" t="str">
        <x:v>团队邮箱先联调；生产SMTP后置；邮件发送和验证操作可重试且不重复赠点</x:v>
      </x:c>
    </x:row>
    <x:row r="278">
      <x:c r="A278" t="str">
        <x:v>第 3 期</x:v>
      </x:c>
      <x:c r="B278" t="str">
        <x:v>6. 平台、工程与上线</x:v>
      </x:c>
      <x:c r="C278" t="str">
        <x:v>INF-DOMAIN-001</x:v>
      </x:c>
      <x:c r="D278" t="str">
        <x:v>正式域名</x:v>
      </x:c>
      <x:c r="E278" t="str">
        <x:v>BE-DOMAIN-01</x:v>
      </x:c>
      <x:c r="F278" t="str">
        <x:v>后端/基础设施</x:v>
      </x:c>
      <x:c r="G278" t="str">
        <x:v>注册或确定正式域名</x:v>
      </x:c>
      <x:c r="H278" t="str">
        <x:v>Bamboo IconGen域名与注册商账号</x:v>
      </x:c>
      <x:c r="I278" t="str">
        <x:v>域名归项目方控制且可管理DNS</x:v>
      </x:c>
      <x:c r="J278" t="str">
        <x:v>—</x:v>
      </x:c>
      <x:c r="K278" t="str">
        <x:v>待完成</x:v>
      </x:c>
      <x:c r="L278" t="str">
        <x:v>09-22～09-24</x:v>
      </x:c>
      <x:c r="M278" t="str">
        <x:v>—</x:v>
      </x:c>
      <x:c r="N278" t="str">
        <x:v>邮件服务商账号；发信域名；SMTP配置版本；邮箱供应商；测试用户ID</x:v>
      </x:c>
      <x:c r="O278" t="str">
        <x:v>domain_pending/domain_verified/smtp_pending/smtp_active；邮件sent/delivered/bounced/failed</x:v>
      </x:c>
      <x:c r="P278" t="str">
        <x:v>DNS未生效、SMTP鉴权失败、频率限制、邮件进垃圾箱、验证链接过期或回跳失败</x:v>
      </x:c>
      <x:c r="Q278" t="str">
        <x:v>SMTP密钥仅服务端保存；日志脱敏；CAPTCHA与速率限制；测试账号最小权限</x:v>
      </x:c>
      <x:c r="R278" t="str">
        <x:v>团队邮箱先联调；生产SMTP后置；邮件发送和验证操作可重试且不重复赠点</x:v>
      </x:c>
    </x:row>
    <x:row r="279">
      <x:c r="A279" t="str">
        <x:v>第 3 期</x:v>
      </x:c>
      <x:c r="B279" t="str">
        <x:v>6. 平台、工程与上线</x:v>
      </x:c>
      <x:c r="C279" t="str">
        <x:v>INF-DOMAIN-001</x:v>
      </x:c>
      <x:c r="D279" t="str">
        <x:v>正式域名</x:v>
      </x:c>
      <x:c r="E279" t="str">
        <x:v>BE-DOMAIN-02</x:v>
      </x:c>
      <x:c r="F279" t="str">
        <x:v>后端/基础设施</x:v>
      </x:c>
      <x:c r="G279" t="str">
        <x:v>配置主域名与www解析</x:v>
      </x:c>
      <x:c r="H279" t="str">
        <x:v>DNS A/CNAME记录</x:v>
      </x:c>
      <x:c r="I279" t="str">
        <x:v>主域名与www均可通过HTTPS访问生产Web</x:v>
      </x:c>
      <x:c r="J279" t="str">
        <x:v>BE-DOMAIN-01</x:v>
      </x:c>
      <x:c r="K279" t="str">
        <x:v>待完成</x:v>
      </x:c>
      <x:c r="L279" t="str">
        <x:v>09-22～09-24</x:v>
      </x:c>
      <x:c r="M279" t="str">
        <x:v>—</x:v>
      </x:c>
      <x:c r="N279" t="str">
        <x:v>邮件服务商账号；发信域名；SMTP配置版本；邮箱供应商；测试用户ID</x:v>
      </x:c>
      <x:c r="O279" t="str">
        <x:v>domain_pending/domain_verified/smtp_pending/smtp_active；邮件sent/delivered/bounced/failed</x:v>
      </x:c>
      <x:c r="P279" t="str">
        <x:v>DNS未生效、SMTP鉴权失败、频率限制、邮件进垃圾箱、验证链接过期或回跳失败</x:v>
      </x:c>
      <x:c r="Q279" t="str">
        <x:v>SMTP密钥仅服务端保存；日志脱敏；CAPTCHA与速率限制；测试账号最小权限</x:v>
      </x:c>
      <x:c r="R279" t="str">
        <x:v>团队邮箱先联调；生产SMTP后置；邮件发送和验证操作可重试且不重复赠点</x:v>
      </x:c>
    </x:row>
    <x:row r="280">
      <x:c r="A280" t="str">
        <x:v>第 3 期</x:v>
      </x:c>
      <x:c r="B280" t="str">
        <x:v>6. 平台、工程与上线</x:v>
      </x:c>
      <x:c r="C280" t="str">
        <x:v>INF-DOMAIN-001</x:v>
      </x:c>
      <x:c r="D280" t="str">
        <x:v>认证回调域名</x:v>
      </x:c>
      <x:c r="E280" t="str">
        <x:v>BE-DOMAIN-03</x:v>
      </x:c>
      <x:c r="F280" t="str">
        <x:v>后端/基础设施</x:v>
      </x:c>
      <x:c r="G280" t="str">
        <x:v>配置Supabase生产认证URL</x:v>
      </x:c>
      <x:c r="H280" t="str">
        <x:v>Site URL与Redirect URLs白名单</x:v>
      </x:c>
      <x:c r="I280" t="str">
        <x:v>验证和重置邮件只回跳正式域名允许路径</x:v>
      </x:c>
      <x:c r="J280" t="str">
        <x:v>BE-DOMAIN-02</x:v>
      </x:c>
      <x:c r="K280" t="str">
        <x:v>待完成</x:v>
      </x:c>
      <x:c r="L280" t="str">
        <x:v>09-22～09-24</x:v>
      </x:c>
      <x:c r="M280" t="str">
        <x:v>—</x:v>
      </x:c>
      <x:c r="N280" t="str">
        <x:v>邮件服务商账号；发信域名；SMTP配置版本；邮箱供应商；测试用户ID</x:v>
      </x:c>
      <x:c r="O280" t="str">
        <x:v>domain_pending/domain_verified/smtp_pending/smtp_active；邮件sent/delivered/bounced/failed</x:v>
      </x:c>
      <x:c r="P280" t="str">
        <x:v>DNS未生效、SMTP鉴权失败、频率限制、邮件进垃圾箱、验证链接过期或回跳失败</x:v>
      </x:c>
      <x:c r="Q280" t="str">
        <x:v>SMTP密钥仅服务端保存；日志脱敏；CAPTCHA与速率限制；测试账号最小权限</x:v>
      </x:c>
      <x:c r="R280" t="str">
        <x:v>团队邮箱先联调；生产SMTP后置；邮件发送和验证操作可重试且不重复赠点</x:v>
      </x:c>
    </x:row>
    <x:row r="281">
      <x:c r="A281" t="str">
        <x:v>第 3 期</x:v>
      </x:c>
      <x:c r="B281" t="str">
        <x:v>6. 平台、工程与上线</x:v>
      </x:c>
      <x:c r="C281" t="str">
        <x:v>INF-SMTP-001</x:v>
      </x:c>
      <x:c r="D281" t="str">
        <x:v>生产SMTP</x:v>
      </x:c>
      <x:c r="E281" t="str">
        <x:v>BE-SMTP-01</x:v>
      </x:c>
      <x:c r="F281" t="str">
        <x:v>后端/基础设施</x:v>
      </x:c>
      <x:c r="G281" t="str">
        <x:v>开通生产邮件服务商账号</x:v>
      </x:c>
      <x:c r="H281" t="str">
        <x:v>Resend项目与受限API凭据</x:v>
      </x:c>
      <x:c r="I281" t="str">
        <x:v>服务账号归项目方且凭据未进入Git</x:v>
      </x:c>
      <x:c r="J281" t="str">
        <x:v>BE-DOMAIN-01</x:v>
      </x:c>
      <x:c r="K281" t="str">
        <x:v>待完成</x:v>
      </x:c>
      <x:c r="L281" t="str">
        <x:v>09-22～09-24</x:v>
      </x:c>
      <x:c r="M281" t="str">
        <x:v>—</x:v>
      </x:c>
      <x:c r="N281" t="str">
        <x:v>邮件服务商账号；发信域名；SMTP配置版本；邮箱供应商；测试用户ID</x:v>
      </x:c>
      <x:c r="O281" t="str">
        <x:v>domain_pending/domain_verified/smtp_pending/smtp_active；邮件sent/delivered/bounced/failed</x:v>
      </x:c>
      <x:c r="P281" t="str">
        <x:v>DNS未生效、SMTP鉴权失败、频率限制、邮件进垃圾箱、验证链接过期或回跳失败</x:v>
      </x:c>
      <x:c r="Q281" t="str">
        <x:v>SMTP密钥仅服务端保存；日志脱敏；CAPTCHA与速率限制；测试账号最小权限</x:v>
      </x:c>
      <x:c r="R281" t="str">
        <x:v>团队邮箱先联调；生产SMTP后置；邮件发送和验证操作可重试且不重复赠点</x:v>
      </x:c>
    </x:row>
    <x:row r="282">
      <x:c r="A282" t="str">
        <x:v>第 3 期</x:v>
      </x:c>
      <x:c r="B282" t="str">
        <x:v>6. 平台、工程与上线</x:v>
      </x:c>
      <x:c r="C282" t="str">
        <x:v>INF-SMTP-001</x:v>
      </x:c>
      <x:c r="D282" t="str">
        <x:v>发信域名认证</x:v>
      </x:c>
      <x:c r="E282" t="str">
        <x:v>BE-SMTP-02</x:v>
      </x:c>
      <x:c r="F282" t="str">
        <x:v>后端/基础设施</x:v>
      </x:c>
      <x:c r="G282" t="str">
        <x:v>配置SPF与DKIM记录</x:v>
      </x:c>
      <x:c r="H282" t="str">
        <x:v>通过服务商验证的SPF/DKIM记录</x:v>
      </x:c>
      <x:c r="I282" t="str">
        <x:v>服务商显示域名已验证且测试信通过认证</x:v>
      </x:c>
      <x:c r="J282" t="str">
        <x:v>BE-SMTP-01</x:v>
      </x:c>
      <x:c r="K282" t="str">
        <x:v>待完成</x:v>
      </x:c>
      <x:c r="L282" t="str">
        <x:v>09-22～09-24</x:v>
      </x:c>
      <x:c r="M282" t="str">
        <x:v>—</x:v>
      </x:c>
      <x:c r="N282" t="str">
        <x:v>邮件服务商账号；发信域名；SMTP配置版本；邮箱供应商；测试用户ID</x:v>
      </x:c>
      <x:c r="O282" t="str">
        <x:v>domain_pending/domain_verified/smtp_pending/smtp_active；邮件sent/delivered/bounced/failed</x:v>
      </x:c>
      <x:c r="P282" t="str">
        <x:v>DNS未生效、SMTP鉴权失败、频率限制、邮件进垃圾箱、验证链接过期或回跳失败</x:v>
      </x:c>
      <x:c r="Q282" t="str">
        <x:v>SMTP密钥仅服务端保存；日志脱敏；CAPTCHA与速率限制；测试账号最小权限</x:v>
      </x:c>
      <x:c r="R282" t="str">
        <x:v>团队邮箱先联调；生产SMTP后置；邮件发送和验证操作可重试且不重复赠点</x:v>
      </x:c>
    </x:row>
    <x:row r="283">
      <x:c r="A283" t="str">
        <x:v>第 3 期</x:v>
      </x:c>
      <x:c r="B283" t="str">
        <x:v>6. 平台、工程与上线</x:v>
      </x:c>
      <x:c r="C283" t="str">
        <x:v>INF-SMTP-001</x:v>
      </x:c>
      <x:c r="D283" t="str">
        <x:v>发信域名认证</x:v>
      </x:c>
      <x:c r="E283" t="str">
        <x:v>BE-SMTP-03</x:v>
      </x:c>
      <x:c r="F283" t="str">
        <x:v>后端/基础设施</x:v>
      </x:c>
      <x:c r="G283" t="str">
        <x:v>配置DMARC记录</x:v>
      </x:c>
      <x:c r="H283" t="str">
        <x:v>DMARC DNS记录与报告邮箱</x:v>
      </x:c>
      <x:c r="I283" t="str">
        <x:v>DNS查询可见策略且报告地址可接收</x:v>
      </x:c>
      <x:c r="J283" t="str">
        <x:v>BE-SMTP-02</x:v>
      </x:c>
      <x:c r="K283" t="str">
        <x:v>待完成</x:v>
      </x:c>
      <x:c r="L283" t="str">
        <x:v>09-22～09-24</x:v>
      </x:c>
      <x:c r="M283" t="str">
        <x:v>—</x:v>
      </x:c>
      <x:c r="N283" t="str">
        <x:v>邮件服务商账号；发信域名；SMTP配置版本；邮箱供应商；测试用户ID</x:v>
      </x:c>
      <x:c r="O283" t="str">
        <x:v>domain_pending/domain_verified/smtp_pending/smtp_active；邮件sent/delivered/bounced/failed</x:v>
      </x:c>
      <x:c r="P283" t="str">
        <x:v>DNS未生效、SMTP鉴权失败、频率限制、邮件进垃圾箱、验证链接过期或回跳失败</x:v>
      </x:c>
      <x:c r="Q283" t="str">
        <x:v>SMTP密钥仅服务端保存；日志脱敏；CAPTCHA与速率限制；测试账号最小权限</x:v>
      </x:c>
      <x:c r="R283" t="str">
        <x:v>团队邮箱先联调；生产SMTP后置；邮件发送和验证操作可重试且不重复赠点</x:v>
      </x:c>
    </x:row>
    <x:row r="284">
      <x:c r="A284" t="str">
        <x:v>第 3 期</x:v>
      </x:c>
      <x:c r="B284" t="str">
        <x:v>6. 平台、工程与上线</x:v>
      </x:c>
      <x:c r="C284" t="str">
        <x:v>INF-SMTP-001</x:v>
      </x:c>
      <x:c r="D284" t="str">
        <x:v>Supabase邮件</x:v>
      </x:c>
      <x:c r="E284" t="str">
        <x:v>BE-SMTP-04</x:v>
      </x:c>
      <x:c r="F284" t="str">
        <x:v>后端/基础设施</x:v>
      </x:c>
      <x:c r="G284" t="str">
        <x:v>在Supabase启用Custom SMTP</x:v>
      </x:c>
      <x:c r="H284" t="str">
        <x:v>SMTP host/port/user/from配置</x:v>
      </x:c>
      <x:c r="I284" t="str">
        <x:v>注册和重置邮件由自定义发件人送达</x:v>
      </x:c>
      <x:c r="J284" t="str">
        <x:v>BE-SMTP-02</x:v>
      </x:c>
      <x:c r="K284" t="str">
        <x:v>待完成</x:v>
      </x:c>
      <x:c r="L284" t="str">
        <x:v>09-23～09-24</x:v>
      </x:c>
      <x:c r="M284" t="str">
        <x:v>—</x:v>
      </x:c>
      <x:c r="N284" t="str">
        <x:v>邮件服务商账号；发信域名；SMTP配置版本；邮箱供应商；测试用户ID</x:v>
      </x:c>
      <x:c r="O284" t="str">
        <x:v>domain_pending/domain_verified/smtp_pending/smtp_active；邮件sent/delivered/bounced/failed</x:v>
      </x:c>
      <x:c r="P284" t="str">
        <x:v>DNS未生效、SMTP鉴权失败、频率限制、邮件进垃圾箱、验证链接过期或回跳失败</x:v>
      </x:c>
      <x:c r="Q284" t="str">
        <x:v>SMTP密钥仅服务端保存；日志脱敏；CAPTCHA与速率限制；测试账号最小权限</x:v>
      </x:c>
      <x:c r="R284" t="str">
        <x:v>团队邮箱先联调；生产SMTP后置；邮件发送和验证操作可重试且不重复赠点</x:v>
      </x:c>
    </x:row>
    <x:row r="285">
      <x:c r="A285" t="str">
        <x:v>第 3 期</x:v>
      </x:c>
      <x:c r="B285" t="str">
        <x:v>1. 用户、登录与账户</x:v>
      </x:c>
      <x:c r="C285" t="str">
        <x:v>AUTH-MAIL-001</x:v>
      </x:c>
      <x:c r="D285" t="str">
        <x:v>认证邮件模板</x:v>
      </x:c>
      <x:c r="E285" t="str">
        <x:v>BE-SMTP-05</x:v>
      </x:c>
      <x:c r="F285" t="str">
        <x:v>后端/基础设施</x:v>
      </x:c>
      <x:c r="G285" t="str">
        <x:v>配置英文优先认证邮件模板</x:v>
      </x:c>
      <x:c r="H285" t="str">
        <x:v>注册验证、重发、忘记和重置密码英文模板</x:v>
      </x:c>
      <x:c r="I285" t="str">
        <x:v>四类邮件文案与链接用途正确</x:v>
      </x:c>
      <x:c r="J285" t="str">
        <x:v>BE-SMTP-04</x:v>
      </x:c>
      <x:c r="K285" t="str">
        <x:v>待完成</x:v>
      </x:c>
      <x:c r="L285" t="str">
        <x:v>09-23～09-25</x:v>
      </x:c>
      <x:c r="M285" t="str">
        <x:v>—</x:v>
      </x:c>
      <x:c r="N285" t="str">
        <x:v>邮件服务商账号；发信域名；SMTP配置版本；邮箱供应商；测试用户ID</x:v>
      </x:c>
      <x:c r="O285" t="str">
        <x:v>domain_pending/domain_verified/smtp_pending/smtp_active；邮件sent/delivered/bounced/failed</x:v>
      </x:c>
      <x:c r="P285" t="str">
        <x:v>DNS未生效、SMTP鉴权失败、频率限制、邮件进垃圾箱、验证链接过期或回跳失败</x:v>
      </x:c>
      <x:c r="Q285" t="str">
        <x:v>SMTP密钥仅服务端保存；日志脱敏；CAPTCHA与速率限制；测试账号最小权限</x:v>
      </x:c>
      <x:c r="R285" t="str">
        <x:v>团队邮箱先联调；生产SMTP后置；邮件发送和验证操作可重试且不重复赠点</x:v>
      </x:c>
    </x:row>
    <x:row r="286">
      <x:c r="A286" t="str">
        <x:v>第 3 期</x:v>
      </x:c>
      <x:c r="B286" t="str">
        <x:v>1. 用户、登录与账户</x:v>
      </x:c>
      <x:c r="C286" t="str">
        <x:v>AUTH-MAIL-001</x:v>
      </x:c>
      <x:c r="D286" t="str">
        <x:v>认证邮件模板</x:v>
      </x:c>
      <x:c r="E286" t="str">
        <x:v>BE-SMTP-06</x:v>
      </x:c>
      <x:c r="F286" t="str">
        <x:v>后端/基础设施</x:v>
      </x:c>
      <x:c r="G286" t="str">
        <x:v>补充中文认证邮件文案</x:v>
      </x:c>
      <x:c r="H286" t="str">
        <x:v>四类邮件中文文案</x:v>
      </x:c>
      <x:c r="I286" t="str">
        <x:v>中文表达与英文流程一致且链接不变</x:v>
      </x:c>
      <x:c r="J286" t="str">
        <x:v>BE-SMTP-05</x:v>
      </x:c>
      <x:c r="K286" t="str">
        <x:v>待完成</x:v>
      </x:c>
      <x:c r="L286" t="str">
        <x:v>09-23～09-25</x:v>
      </x:c>
      <x:c r="M286" t="str">
        <x:v>—</x:v>
      </x:c>
      <x:c r="N286" t="str">
        <x:v>邮件服务商账号；发信域名；SMTP配置版本；邮箱供应商；测试用户ID</x:v>
      </x:c>
      <x:c r="O286" t="str">
        <x:v>domain_pending/domain_verified/smtp_pending/smtp_active；邮件sent/delivered/bounced/failed</x:v>
      </x:c>
      <x:c r="P286" t="str">
        <x:v>DNS未生效、SMTP鉴权失败、频率限制、邮件进垃圾箱、验证链接过期或回跳失败</x:v>
      </x:c>
      <x:c r="Q286" t="str">
        <x:v>SMTP密钥仅服务端保存；日志脱敏；CAPTCHA与速率限制；测试账号最小权限</x:v>
      </x:c>
      <x:c r="R286" t="str">
        <x:v>团队邮箱先联调；生产SMTP后置；邮件发送和验证操作可重试且不重复赠点</x:v>
      </x:c>
    </x:row>
    <x:row r="287">
      <x:c r="A287" t="str">
        <x:v>第 3 期</x:v>
      </x:c>
      <x:c r="B287" t="str">
        <x:v>1. 用户、登录与账户</x:v>
      </x:c>
      <x:c r="C287" t="str">
        <x:v>AUTH-SEC-001</x:v>
      </x:c>
      <x:c r="D287" t="str">
        <x:v>注册防滥用</x:v>
      </x:c>
      <x:c r="E287" t="str">
        <x:v>BE-AUTH-SEC-01</x:v>
      </x:c>
      <x:c r="F287" t="str">
        <x:v>后端/基础设施</x:v>
      </x:c>
      <x:c r="G287" t="str">
        <x:v>配置认证邮件频率限制</x:v>
      </x:c>
      <x:c r="H287" t="str">
        <x:v>Supabase Auth邮件限流参数</x:v>
      </x:c>
      <x:c r="I287" t="str">
        <x:v>连续重发被限制且正常用户可恢复</x:v>
      </x:c>
      <x:c r="J287" t="str">
        <x:v>BE-SMTP-04</x:v>
      </x:c>
      <x:c r="K287" t="str">
        <x:v>待完成</x:v>
      </x:c>
      <x:c r="L287" t="str">
        <x:v>09-23～09-25</x:v>
      </x:c>
      <x:c r="M287" t="str">
        <x:v>—</x:v>
      </x:c>
      <x:c r="N287" t="str">
        <x:v>邮件服务商账号；发信域名；SMTP配置版本；邮箱供应商；测试用户ID</x:v>
      </x:c>
      <x:c r="O287" t="str">
        <x:v>domain_pending/domain_verified/smtp_pending/smtp_active；邮件sent/delivered/bounced/failed</x:v>
      </x:c>
      <x:c r="P287" t="str">
        <x:v>DNS未生效、SMTP鉴权失败、频率限制、邮件进垃圾箱、验证链接过期或回跳失败</x:v>
      </x:c>
      <x:c r="Q287" t="str">
        <x:v>SMTP密钥仅服务端保存；日志脱敏；CAPTCHA与速率限制；测试账号最小权限</x:v>
      </x:c>
      <x:c r="R287" t="str">
        <x:v>团队邮箱先联调；生产SMTP后置；邮件发送和验证操作可重试且不重复赠点</x:v>
      </x:c>
    </x:row>
    <x:row r="288">
      <x:c r="A288" t="str">
        <x:v>第 3 期</x:v>
      </x:c>
      <x:c r="B288" t="str">
        <x:v>1. 用户、登录与账户</x:v>
      </x:c>
      <x:c r="C288" t="str">
        <x:v>AUTH-SEC-001</x:v>
      </x:c>
      <x:c r="D288" t="str">
        <x:v>注册防滥用</x:v>
      </x:c>
      <x:c r="E288" t="str">
        <x:v>BE-AUTH-SEC-02</x:v>
      </x:c>
      <x:c r="F288" t="str">
        <x:v>后端/基础设施</x:v>
      </x:c>
      <x:c r="G288" t="str">
        <x:v>启用注册CAPTCHA与接口速率限制</x:v>
      </x:c>
      <x:c r="H288" t="str">
        <x:v>CAPTCHA配置和服务端限流策略</x:v>
      </x:c>
      <x:c r="I288" t="str">
        <x:v>自动化滥用被拒绝且不影响正常注册</x:v>
      </x:c>
      <x:c r="J288" t="str">
        <x:v>BE-AUTH-SEC-01</x:v>
      </x:c>
      <x:c r="K288" t="str">
        <x:v>待完成</x:v>
      </x:c>
      <x:c r="L288" t="str">
        <x:v>09-23～09-25</x:v>
      </x:c>
      <x:c r="M288" t="str">
        <x:v>—</x:v>
      </x:c>
      <x:c r="N288" t="str">
        <x:v>邮件服务商账号；发信域名；SMTP配置版本；邮箱供应商；测试用户ID</x:v>
      </x:c>
      <x:c r="O288" t="str">
        <x:v>domain_pending/domain_verified/smtp_pending/smtp_active；邮件sent/delivered/bounced/failed</x:v>
      </x:c>
      <x:c r="P288" t="str">
        <x:v>DNS未生效、SMTP鉴权失败、频率限制、邮件进垃圾箱、验证链接过期或回跳失败</x:v>
      </x:c>
      <x:c r="Q288" t="str">
        <x:v>SMTP密钥仅服务端保存；日志脱敏；CAPTCHA与速率限制；测试账号最小权限</x:v>
      </x:c>
      <x:c r="R288" t="str">
        <x:v>团队邮箱先联调；生产SMTP后置；邮件发送和验证操作可重试且不重复赠点</x:v>
      </x:c>
    </x:row>
    <x:row r="289">
      <x:c r="A289" t="str">
        <x:v>第 3 期</x:v>
      </x:c>
      <x:c r="B289" t="str">
        <x:v>1. 用户、登录与账户</x:v>
      </x:c>
      <x:c r="C289" t="str">
        <x:v>AUTH-MAIL-QA</x:v>
      </x:c>
      <x:c r="D289" t="str">
        <x:v>主流邮箱兼容</x:v>
      </x:c>
      <x:c r="E289" t="str">
        <x:v>BE-MAIL-QA-01</x:v>
      </x:c>
      <x:c r="F289" t="str">
        <x:v>后端/测试</x:v>
      </x:c>
      <x:c r="G289" t="str">
        <x:v>验收Gmail认证邮件闭环</x:v>
      </x:c>
      <x:c r="H289" t="str">
        <x:v>Gmail注册/验证/重发/重置记录</x:v>
      </x:c>
      <x:c r="I289" t="str">
        <x:v>四条路径成功且记录收件箱或垃圾箱位置</x:v>
      </x:c>
      <x:c r="J289" t="str">
        <x:v>BE-SMTP-06</x:v>
      </x:c>
      <x:c r="K289" t="str">
        <x:v>待完成</x:v>
      </x:c>
      <x:c r="L289" t="str">
        <x:v>09-25～09-26</x:v>
      </x:c>
      <x:c r="M289" t="str">
        <x:v>—</x:v>
      </x:c>
      <x:c r="N289" t="str">
        <x:v>邮件服务商账号；发信域名；SMTP配置版本；邮箱供应商；测试用户ID</x:v>
      </x:c>
      <x:c r="O289" t="str">
        <x:v>domain_pending/domain_verified/smtp_pending/smtp_active；邮件sent/delivered/bounced/failed</x:v>
      </x:c>
      <x:c r="P289" t="str">
        <x:v>DNS未生效、SMTP鉴权失败、频率限制、邮件进垃圾箱、验证链接过期或回跳失败</x:v>
      </x:c>
      <x:c r="Q289" t="str">
        <x:v>SMTP密钥仅服务端保存；日志脱敏；CAPTCHA与速率限制；测试账号最小权限</x:v>
      </x:c>
      <x:c r="R289" t="str">
        <x:v>团队邮箱先联调；生产SMTP后置；邮件发送和验证操作可重试且不重复赠点</x:v>
      </x:c>
    </x:row>
    <x:row r="290">
      <x:c r="A290" t="str">
        <x:v>第 3 期</x:v>
      </x:c>
      <x:c r="B290" t="str">
        <x:v>1. 用户、登录与账户</x:v>
      </x:c>
      <x:c r="C290" t="str">
        <x:v>AUTH-MAIL-QA</x:v>
      </x:c>
      <x:c r="D290" t="str">
        <x:v>主流邮箱兼容</x:v>
      </x:c>
      <x:c r="E290" t="str">
        <x:v>BE-MAIL-QA-02</x:v>
      </x:c>
      <x:c r="F290" t="str">
        <x:v>后端/测试</x:v>
      </x:c>
      <x:c r="G290" t="str">
        <x:v>验收Outlook认证邮件闭环</x:v>
      </x:c>
      <x:c r="H290" t="str">
        <x:v>Outlook注册/验证/重发/重置记录</x:v>
      </x:c>
      <x:c r="I290" t="str">
        <x:v>四条路径成功且记录收件箱或垃圾箱位置</x:v>
      </x:c>
      <x:c r="J290" t="str">
        <x:v>BE-SMTP-06</x:v>
      </x:c>
      <x:c r="K290" t="str">
        <x:v>待完成</x:v>
      </x:c>
      <x:c r="L290" t="str">
        <x:v>09-25～09-26</x:v>
      </x:c>
      <x:c r="M290" t="str">
        <x:v>—</x:v>
      </x:c>
      <x:c r="N290" t="str">
        <x:v>邮件服务商账号；发信域名；SMTP配置版本；邮箱供应商；测试用户ID</x:v>
      </x:c>
      <x:c r="O290" t="str">
        <x:v>domain_pending/domain_verified/smtp_pending/smtp_active；邮件sent/delivered/bounced/failed</x:v>
      </x:c>
      <x:c r="P290" t="str">
        <x:v>DNS未生效、SMTP鉴权失败、频率限制、邮件进垃圾箱、验证链接过期或回跳失败</x:v>
      </x:c>
      <x:c r="Q290" t="str">
        <x:v>SMTP密钥仅服务端保存；日志脱敏；CAPTCHA与速率限制；测试账号最小权限</x:v>
      </x:c>
      <x:c r="R290" t="str">
        <x:v>团队邮箱先联调；生产SMTP后置；邮件发送和验证操作可重试且不重复赠点</x:v>
      </x:c>
    </x:row>
    <x:row r="291">
      <x:c r="A291" t="str">
        <x:v>第 3 期</x:v>
      </x:c>
      <x:c r="B291" t="str">
        <x:v>1. 用户、登录与账户</x:v>
      </x:c>
      <x:c r="C291" t="str">
        <x:v>AUTH-MAIL-QA</x:v>
      </x:c>
      <x:c r="D291" t="str">
        <x:v>主流邮箱兼容</x:v>
      </x:c>
      <x:c r="E291" t="str">
        <x:v>BE-MAIL-QA-03</x:v>
      </x:c>
      <x:c r="F291" t="str">
        <x:v>后端/测试</x:v>
      </x:c>
      <x:c r="G291" t="str">
        <x:v>验收iCloud认证邮件闭环</x:v>
      </x:c>
      <x:c r="H291" t="str">
        <x:v>iCloud注册/验证/重发/重置记录</x:v>
      </x:c>
      <x:c r="I291" t="str">
        <x:v>四条路径成功且记录收件箱或垃圾箱位置</x:v>
      </x:c>
      <x:c r="J291" t="str">
        <x:v>BE-SMTP-06</x:v>
      </x:c>
      <x:c r="K291" t="str">
        <x:v>待完成</x:v>
      </x:c>
      <x:c r="L291" t="str">
        <x:v>09-25～09-26</x:v>
      </x:c>
      <x:c r="M291" t="str">
        <x:v>—</x:v>
      </x:c>
      <x:c r="N291" t="str">
        <x:v>邮件服务商账号；发信域名；SMTP配置版本；邮箱供应商；测试用户ID</x:v>
      </x:c>
      <x:c r="O291" t="str">
        <x:v>domain_pending/domain_verified/smtp_pending/smtp_active；邮件sent/delivered/bounced/failed</x:v>
      </x:c>
      <x:c r="P291" t="str">
        <x:v>DNS未生效、SMTP鉴权失败、频率限制、邮件进垃圾箱、验证链接过期或回跳失败</x:v>
      </x:c>
      <x:c r="Q291" t="str">
        <x:v>SMTP密钥仅服务端保存；日志脱敏；CAPTCHA与速率限制；测试账号最小权限</x:v>
      </x:c>
      <x:c r="R291" t="str">
        <x:v>团队邮箱先联调；生产SMTP后置；邮件发送和验证操作可重试且不重复赠点</x:v>
      </x:c>
    </x:row>
    <x:row r="292">
      <x:c r="A292" t="str">
        <x:v>第 3 期</x:v>
      </x:c>
      <x:c r="B292" t="str">
        <x:v>1. 用户、登录与账户</x:v>
      </x:c>
      <x:c r="C292" t="str">
        <x:v>AUTH-MAIL-QA</x:v>
      </x:c>
      <x:c r="D292" t="str">
        <x:v>主流邮箱兼容</x:v>
      </x:c>
      <x:c r="E292" t="str">
        <x:v>BE-MAIL-QA-04</x:v>
      </x:c>
      <x:c r="F292" t="str">
        <x:v>后端/测试</x:v>
      </x:c>
      <x:c r="G292" t="str">
        <x:v>验收QQ邮箱认证邮件闭环</x:v>
      </x:c>
      <x:c r="H292" t="str">
        <x:v>QQ邮箱注册/验证/重发/重置记录</x:v>
      </x:c>
      <x:c r="I292" t="str">
        <x:v>四条路径成功且记录收件箱或垃圾箱位置</x:v>
      </x:c>
      <x:c r="J292" t="str">
        <x:v>BE-SMTP-06</x:v>
      </x:c>
      <x:c r="K292" t="str">
        <x:v>待完成</x:v>
      </x:c>
      <x:c r="L292" t="str">
        <x:v>09-25～09-26</x:v>
      </x:c>
      <x:c r="M292" t="str">
        <x:v>—</x:v>
      </x:c>
      <x:c r="N292" t="str">
        <x:v>邮件服务商账号；发信域名；SMTP配置版本；邮箱供应商；测试用户ID</x:v>
      </x:c>
      <x:c r="O292" t="str">
        <x:v>domain_pending/domain_verified/smtp_pending/smtp_active；邮件sent/delivered/bounced/failed</x:v>
      </x:c>
      <x:c r="P292" t="str">
        <x:v>DNS未生效、SMTP鉴权失败、频率限制、邮件进垃圾箱、验证链接过期或回跳失败</x:v>
      </x:c>
      <x:c r="Q292" t="str">
        <x:v>SMTP密钥仅服务端保存；日志脱敏；CAPTCHA与速率限制；测试账号最小权限</x:v>
      </x:c>
      <x:c r="R292" t="str">
        <x:v>团队邮箱先联调；生产SMTP后置；邮件发送和验证操作可重试且不重复赠点</x:v>
      </x:c>
    </x:row>
    <x:row r="293">
      <x:c r="A293" t="str">
        <x:v>第 3 期</x:v>
      </x:c>
      <x:c r="B293" t="str">
        <x:v>1. 用户、登录与账户</x:v>
      </x:c>
      <x:c r="C293" t="str">
        <x:v>AUTH-MAIL-QA</x:v>
      </x:c>
      <x:c r="D293" t="str">
        <x:v>主流邮箱兼容</x:v>
      </x:c>
      <x:c r="E293" t="str">
        <x:v>BE-MAIL-QA-05</x:v>
      </x:c>
      <x:c r="F293" t="str">
        <x:v>后端/测试</x:v>
      </x:c>
      <x:c r="G293" t="str">
        <x:v>验收163邮箱认证邮件闭环</x:v>
      </x:c>
      <x:c r="H293" t="str">
        <x:v>163邮箱注册/验证/重发/重置记录</x:v>
      </x:c>
      <x:c r="I293" t="str">
        <x:v>四条路径成功且记录收件箱或垃圾箱位置</x:v>
      </x:c>
      <x:c r="J293" t="str">
        <x:v>BE-SMTP-06</x:v>
      </x:c>
      <x:c r="K293" t="str">
        <x:v>待完成</x:v>
      </x:c>
      <x:c r="L293" t="str">
        <x:v>09-25～09-26</x:v>
      </x:c>
      <x:c r="M293" t="str">
        <x:v>—</x:v>
      </x:c>
      <x:c r="N293" t="str">
        <x:v>邮件服务商账号；发信域名；SMTP配置版本；邮箱供应商；测试用户ID</x:v>
      </x:c>
      <x:c r="O293" t="str">
        <x:v>domain_pending/domain_verified/smtp_pending/smtp_active；邮件sent/delivered/bounced/failed</x:v>
      </x:c>
      <x:c r="P293" t="str">
        <x:v>DNS未生效、SMTP鉴权失败、频率限制、邮件进垃圾箱、验证链接过期或回跳失败</x:v>
      </x:c>
      <x:c r="Q293" t="str">
        <x:v>SMTP密钥仅服务端保存；日志脱敏；CAPTCHA与速率限制；测试账号最小权限</x:v>
      </x:c>
      <x:c r="R293" t="str">
        <x:v>团队邮箱先联调；生产SMTP后置；邮件发送和验证操作可重试且不重复赠点</x:v>
      </x:c>
    </x:row>
    <x:row r="294">
      <x:c r="A294" t="str">
        <x:v>第 3 期</x:v>
      </x:c>
      <x:c r="B294" t="str">
        <x:v>6. 平台、工程与上线</x:v>
      </x:c>
      <x:c r="C294" t="str">
        <x:v>INF-SMTP-001</x:v>
      </x:c>
      <x:c r="D294" t="str">
        <x:v>邮件可观测性</x:v>
      </x:c>
      <x:c r="E294" t="str">
        <x:v>BE-MAIL-OBS-01</x:v>
      </x:c>
      <x:c r="F294" t="str">
        <x:v>后端/基础设施</x:v>
      </x:c>
      <x:c r="G294" t="str">
        <x:v>配置退信与发送失败监控</x:v>
      </x:c>
      <x:c r="H294" t="str">
        <x:v>邮件事件日志和失败告警</x:v>
      </x:c>
      <x:c r="I294" t="str">
        <x:v>失败事件包含可定位用户/邮件类型且不记录敏感链接</x:v>
      </x:c>
      <x:c r="J294" t="str">
        <x:v>BE-SMTP-04</x:v>
      </x:c>
      <x:c r="K294" t="str">
        <x:v>待完成</x:v>
      </x:c>
      <x:c r="L294" t="str">
        <x:v>09-25～09-26</x:v>
      </x:c>
      <x:c r="M294" t="str">
        <x:v>—</x:v>
      </x:c>
      <x:c r="N294" t="str">
        <x:v>邮件服务商账号；发信域名；SMTP配置版本；邮箱供应商；测试用户ID</x:v>
      </x:c>
      <x:c r="O294" t="str">
        <x:v>domain_pending/domain_verified/smtp_pending/smtp_active；邮件sent/delivered/bounced/failed</x:v>
      </x:c>
      <x:c r="P294" t="str">
        <x:v>DNS未生效、SMTP鉴权失败、频率限制、邮件进垃圾箱、验证链接过期或回跳失败</x:v>
      </x:c>
      <x:c r="Q294" t="str">
        <x:v>SMTP密钥仅服务端保存；日志脱敏；CAPTCHA与速率限制；测试账号最小权限</x:v>
      </x:c>
      <x:c r="R294" t="str">
        <x:v>团队邮箱先联调；生产SMTP后置；邮件发送和验证操作可重试且不重复赠点</x:v>
      </x:c>
    </x:row>
  </x:sheetData>
  <x:mergeCells>
    <x:mergeCell ref="A1:R1"/>
    <x:mergeCell ref="A2:R2"/>
  </x:mergeCells>
  <x:conditionalFormatting sqref="K4:K274">
    <x:cfRule type="containsText" dxfId="2" priority="1" operator="containsText" text="已完成"/>
    <x:cfRule type="containsText" dxfId="3" priority="2" operator="containsText" text="待完成"/>
  </x:conditionalFormatting>
  <x:dataValidations count="1">
    <x:dataValidation type="list" sqref="K4:K274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26c508ae8c45fd"/>
  </x:tableParts>
</x:worksheet>
</file>